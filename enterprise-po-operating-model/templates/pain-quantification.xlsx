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in Points" sheetId="1" state="visible" r:id="rId1"/>
    <sheet xmlns:r="http://schemas.openxmlformats.org/officeDocument/2006/relationships" name="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$#,##0"/>
  </numFmts>
  <fonts count="6">
    <font>
      <name val="Calibri"/>
      <family val="2"/>
      <color theme="1"/>
      <sz val="11"/>
      <scheme val="minor"/>
    </font>
    <font>
      <b val="1"/>
      <sz val="16"/>
    </font>
    <font>
      <i val="1"/>
      <color rgb="00595959"/>
      <sz val="10"/>
    </font>
    <font>
      <b val="1"/>
    </font>
    <font>
      <i val="1"/>
      <color rgb="00595959"/>
    </font>
    <font>
      <b val="1"/>
      <sz val="13"/>
    </font>
  </fonts>
  <fills count="5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0" fillId="2" borderId="0" pivotButton="0" quotePrefix="0" xfId="0"/>
    <xf numFmtId="0" fontId="3" fillId="3" borderId="0" pivotButton="0" quotePrefix="0" xfId="0"/>
    <xf numFmtId="0" fontId="0" fillId="2" borderId="0" pivotButton="0" quotePrefix="0" xfId="0"/>
    <xf numFmtId="3" fontId="3" fillId="0" borderId="0" pivotButton="0" quotePrefix="0" xfId="0"/>
    <xf numFmtId="164" fontId="0" fillId="0" borderId="0" pivotButton="0" quotePrefix="0" xfId="0"/>
    <xf numFmtId="165" fontId="3" fillId="0" borderId="0" pivotButton="0" quotePrefix="0" xfId="0"/>
    <xf numFmtId="3" fontId="0" fillId="0" borderId="0" pivotButton="0" quotePrefix="0" xfId="0"/>
    <xf numFmtId="165" fontId="0" fillId="0" borderId="0" pivotButton="0" quotePrefix="0" xfId="0"/>
    <xf numFmtId="0" fontId="3" fillId="4" borderId="0" pivotButton="0" quotePrefix="0" xfId="0"/>
    <xf numFmtId="3" fontId="3" fillId="4" borderId="0" pivotButton="0" quotePrefix="0" xfId="0"/>
    <xf numFmtId="165" fontId="3" fillId="4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cols>
    <col width="6" customWidth="1" min="1" max="1"/>
    <col width="34" customWidth="1" min="2" max="2"/>
    <col width="20" customWidth="1" min="3" max="3"/>
    <col width="12" customWidth="1" min="4" max="4"/>
    <col width="12" customWidth="1" min="5" max="5"/>
    <col width="14" customWidth="1" min="6" max="6"/>
    <col width="14" customWidth="1" min="7" max="7"/>
    <col width="12" customWidth="1" min="8" max="8"/>
    <col width="14" customWidth="1" min="9" max="9"/>
    <col width="14" customWidth="1" min="10" max="10"/>
    <col width="26" customWidth="1" min="11" max="11"/>
    <col width="22" customWidth="1" min="12" max="12"/>
  </cols>
  <sheetData>
    <row r="1">
      <c r="A1" s="1" t="inlineStr">
        <is>
          <t>Pain Quantification Sheet — &lt;Process&gt;</t>
        </is>
      </c>
    </row>
    <row r="2">
      <c r="A2" s="2" t="inlineStr">
        <is>
          <t>Phase 1 · quantifies the as-is baseline BEFORE automation · totals feed the business case and ROI model</t>
        </is>
      </c>
    </row>
    <row r="3">
      <c r="A3" s="3" t="inlineStr">
        <is>
          <t>Fully loaded rate ($/h):</t>
        </is>
      </c>
      <c r="C3" s="4" t="n">
        <v>17.31</v>
      </c>
    </row>
    <row r="4"/>
    <row r="5">
      <c r="A5" s="5" t="inlineStr">
        <is>
          <t>#</t>
        </is>
      </c>
      <c r="B5" s="5" t="inlineStr">
        <is>
          <t>Pain point</t>
        </is>
      </c>
      <c r="C5" s="5" t="inlineStr">
        <is>
          <t>Affected group</t>
        </is>
      </c>
      <c r="D5" s="5" t="inlineStr">
        <is>
          <t>People affected</t>
        </is>
      </c>
      <c r="E5" s="5" t="inlineStr">
        <is>
          <t>Frequency (×/person/week)</t>
        </is>
      </c>
      <c r="F5" s="5" t="inlineStr">
        <is>
          <t>Avg time lost (min)</t>
        </is>
      </c>
      <c r="G5" s="5" t="inlineStr">
        <is>
          <t>Annual hours lost</t>
        </is>
      </c>
      <c r="H5" s="5" t="inlineStr">
        <is>
          <t>Rate ($/h)</t>
        </is>
      </c>
      <c r="I5" s="5" t="inlineStr">
        <is>
          <t>Annual $ cost</t>
        </is>
      </c>
      <c r="J5" s="5" t="inlineStr">
        <is>
          <t>Error/risk impact</t>
        </is>
      </c>
      <c r="K5" s="5" t="inlineStr">
        <is>
          <t>Evidence / source</t>
        </is>
      </c>
      <c r="L5" s="5" t="inlineStr">
        <is>
          <t>Notes</t>
        </is>
      </c>
    </row>
    <row r="6">
      <c r="A6" s="6" t="n">
        <v>1</v>
      </c>
      <c r="B6" s="6" t="inlineStr">
        <is>
          <t>Manual invoice data entry</t>
        </is>
      </c>
      <c r="C6" s="6" t="inlineStr">
        <is>
          <t>AP team</t>
        </is>
      </c>
      <c r="D6" s="6" t="n">
        <v>5</v>
      </c>
      <c r="E6" s="6" t="n">
        <v>20</v>
      </c>
      <c r="F6" s="6" t="n">
        <v>15</v>
      </c>
      <c r="G6" s="7">
        <f>D6*E6*F6/60*52</f>
        <v/>
      </c>
      <c r="H6" s="8">
        <f>$C$3</f>
        <v/>
      </c>
      <c r="I6" s="9">
        <f>G6*H6</f>
        <v/>
      </c>
      <c r="J6" s="6" t="inlineStr">
        <is>
          <t>M</t>
        </is>
      </c>
      <c r="K6" s="6" t="inlineStr">
        <is>
          <t>Team survey Sep 2026</t>
        </is>
      </c>
      <c r="L6" s="6" t="inlineStr"/>
    </row>
    <row r="7">
      <c r="A7" s="6" t="n">
        <v>2</v>
      </c>
      <c r="B7" s="6" t="inlineStr">
        <is>
          <t>Error corrections in PO creation</t>
        </is>
      </c>
      <c r="C7" s="6" t="inlineStr">
        <is>
          <t>Procurement</t>
        </is>
      </c>
      <c r="D7" s="6" t="n">
        <v>3</v>
      </c>
      <c r="E7" s="6" t="n">
        <v>8</v>
      </c>
      <c r="F7" s="6" t="n">
        <v>20</v>
      </c>
      <c r="G7" s="7">
        <f>D7*E7*F7/60*52</f>
        <v/>
      </c>
      <c r="H7" s="8">
        <f>$C$3</f>
        <v/>
      </c>
      <c r="I7" s="9">
        <f>G7*H7</f>
        <v/>
      </c>
      <c r="J7" s="6" t="inlineStr">
        <is>
          <t>H</t>
        </is>
      </c>
      <c r="K7" s="6" t="inlineStr">
        <is>
          <t>QA log</t>
        </is>
      </c>
      <c r="L7" s="6" t="inlineStr"/>
    </row>
    <row r="8">
      <c r="A8" s="6" t="n">
        <v>3</v>
      </c>
      <c r="B8" s="6" t="inlineStr">
        <is>
          <t>Email chasing approvals</t>
        </is>
      </c>
      <c r="C8" s="6" t="inlineStr">
        <is>
          <t>AP + team leads</t>
        </is>
      </c>
      <c r="D8" s="6" t="n">
        <v>8</v>
      </c>
      <c r="E8" s="6" t="n">
        <v>10</v>
      </c>
      <c r="F8" s="6" t="n">
        <v>5</v>
      </c>
      <c r="G8" s="7">
        <f>D8*E8*F8/60*52</f>
        <v/>
      </c>
      <c r="H8" s="8">
        <f>$C$3</f>
        <v/>
      </c>
      <c r="I8" s="9">
        <f>G8*H8</f>
        <v/>
      </c>
      <c r="J8" s="6" t="inlineStr">
        <is>
          <t>L</t>
        </is>
      </c>
      <c r="K8" s="6" t="inlineStr">
        <is>
          <t>Inbox analysis</t>
        </is>
      </c>
      <c r="L8" s="6" t="inlineStr"/>
    </row>
    <row r="9">
      <c r="A9" s="6" t="n">
        <v>4</v>
      </c>
      <c r="B9" s="6" t="inlineStr">
        <is>
          <t>Manual report building</t>
        </is>
      </c>
      <c r="C9" s="6" t="inlineStr">
        <is>
          <t>Finance</t>
        </is>
      </c>
      <c r="D9" s="6" t="n">
        <v>2</v>
      </c>
      <c r="E9" s="6" t="n">
        <v>2</v>
      </c>
      <c r="F9" s="6" t="n">
        <v>90</v>
      </c>
      <c r="G9" s="7">
        <f>D9*E9*F9/60*52</f>
        <v/>
      </c>
      <c r="H9" s="8">
        <f>$C$3</f>
        <v/>
      </c>
      <c r="I9" s="9">
        <f>G9*H9</f>
        <v/>
      </c>
      <c r="J9" s="6" t="inlineStr">
        <is>
          <t>M</t>
        </is>
      </c>
      <c r="K9" s="6" t="inlineStr">
        <is>
          <t>Process owner</t>
        </is>
      </c>
      <c r="L9" s="6" t="inlineStr"/>
    </row>
    <row r="10">
      <c r="A10" s="6" t="n">
        <v>5</v>
      </c>
      <c r="B10" s="6" t="inlineStr">
        <is>
          <t>Rework from copy-paste errors</t>
        </is>
      </c>
      <c r="C10" s="6" t="inlineStr">
        <is>
          <t>Operations</t>
        </is>
      </c>
      <c r="D10" s="6" t="n">
        <v>6</v>
      </c>
      <c r="E10" s="6" t="n">
        <v>4</v>
      </c>
      <c r="F10" s="6" t="n">
        <v>30</v>
      </c>
      <c r="G10" s="7">
        <f>D10*E10*F10/60*52</f>
        <v/>
      </c>
      <c r="H10" s="8">
        <f>$C$3</f>
        <v/>
      </c>
      <c r="I10" s="9">
        <f>G10*H10</f>
        <v/>
      </c>
      <c r="J10" s="6" t="inlineStr">
        <is>
          <t>H</t>
        </is>
      </c>
      <c r="K10" s="6" t="inlineStr">
        <is>
          <t>Error log</t>
        </is>
      </c>
      <c r="L10" s="6" t="inlineStr"/>
    </row>
    <row r="11">
      <c r="A11" s="6" t="inlineStr"/>
      <c r="B11" s="6" t="inlineStr"/>
      <c r="C11" s="6" t="inlineStr"/>
      <c r="D11" s="6" t="inlineStr"/>
      <c r="E11" s="6" t="inlineStr"/>
      <c r="F11" s="6" t="inlineStr"/>
      <c r="G11" s="10">
        <f>D11*E11*F11/60*52</f>
        <v/>
      </c>
      <c r="H11" s="8">
        <f>$C$3</f>
        <v/>
      </c>
      <c r="I11" s="11">
        <f>G11*H11</f>
        <v/>
      </c>
      <c r="J11" s="6" t="inlineStr"/>
      <c r="K11" s="6" t="inlineStr"/>
      <c r="L11" s="6" t="inlineStr"/>
    </row>
    <row r="12">
      <c r="A12" s="6" t="inlineStr"/>
      <c r="B12" s="6" t="inlineStr"/>
      <c r="C12" s="6" t="inlineStr"/>
      <c r="D12" s="6" t="inlineStr"/>
      <c r="E12" s="6" t="inlineStr"/>
      <c r="F12" s="6" t="inlineStr"/>
      <c r="G12" s="10">
        <f>D12*E12*F12/60*52</f>
        <v/>
      </c>
      <c r="H12" s="8">
        <f>$C$3</f>
        <v/>
      </c>
      <c r="I12" s="11">
        <f>G12*H12</f>
        <v/>
      </c>
      <c r="J12" s="6" t="inlineStr"/>
      <c r="K12" s="6" t="inlineStr"/>
      <c r="L12" s="6" t="inlineStr"/>
    </row>
    <row r="13">
      <c r="A13" s="6" t="inlineStr"/>
      <c r="B13" s="6" t="inlineStr"/>
      <c r="C13" s="6" t="inlineStr"/>
      <c r="D13" s="6" t="inlineStr"/>
      <c r="E13" s="6" t="inlineStr"/>
      <c r="F13" s="6" t="inlineStr"/>
      <c r="G13" s="10">
        <f>D13*E13*F13/60*52</f>
        <v/>
      </c>
      <c r="H13" s="8">
        <f>$C$3</f>
        <v/>
      </c>
      <c r="I13" s="11">
        <f>G13*H13</f>
        <v/>
      </c>
      <c r="J13" s="6" t="inlineStr"/>
      <c r="K13" s="6" t="inlineStr"/>
      <c r="L13" s="6" t="inlineStr"/>
    </row>
    <row r="14">
      <c r="A14" s="12" t="inlineStr">
        <is>
          <t>TOTAL</t>
        </is>
      </c>
      <c r="G14" s="13">
        <f>SUM(G6:G13)</f>
        <v/>
      </c>
      <c r="I14" s="14">
        <f>SUM(I6:I13)</f>
        <v/>
      </c>
      <c r="K14" s="15" t="inlineStr">
        <is>
          <t>≈ FTE: =G14/2080</t>
        </is>
      </c>
      <c r="L14" s="15" t="inlineStr">
        <is>
          <t>Copy totals into business case §3</t>
        </is>
      </c>
    </row>
  </sheetData>
  <mergeCells count="2">
    <mergeCell ref="A2:L2"/>
    <mergeCell ref="A1:L1"/>
  </mergeCells>
  <dataValidations count="1">
    <dataValidation sqref="J5:J13" showDropDown="0" showInputMessage="0" showErrorMessage="0" allowBlank="1" type="list">
      <formula1>"H,M,L"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2" customWidth="1" min="1" max="1"/>
    <col width="90" customWidth="1" min="2" max="2"/>
  </cols>
  <sheetData>
    <row r="1">
      <c r="A1" s="16" t="inlineStr">
        <is>
          <t>How to use the Pain Quantification Sheet</t>
        </is>
      </c>
    </row>
    <row r="2">
      <c r="A2" s="17" t="inlineStr">
        <is>
          <t>Timing</t>
        </is>
      </c>
      <c r="B2" s="17" t="inlineStr">
        <is>
          <t>Complete in Phase 1 BEFORE automation starts. This is the baseline that makes later ROI claims credible (org standard).</t>
        </is>
      </c>
    </row>
    <row r="3">
      <c r="A3" s="17" t="inlineStr">
        <is>
          <t>Data</t>
        </is>
      </c>
      <c r="B3" s="17" t="inlineStr">
        <is>
          <t>Prefer measured data (logs, tickets, time tracking). Where only estimates exist, say so in Evidence and use conservative numbers.</t>
        </is>
      </c>
    </row>
    <row r="4">
      <c r="A4" s="17" t="inlineStr">
        <is>
          <t>Formula</t>
        </is>
      </c>
      <c r="B4" s="17" t="inlineStr">
        <is>
          <t>Annual hours = people × frequency × minutes ÷ 60 × 52 weeks. Rate is the org fully-loaded convention ($36k/yr ÷ 2,080 h).</t>
        </is>
      </c>
    </row>
    <row r="5">
      <c r="A5" s="17" t="inlineStr">
        <is>
          <t>Error/risk impact</t>
        </is>
      </c>
      <c r="B5" s="17" t="inlineStr">
        <is>
          <t>H/M/L for non-time costs: errors, compliance exposure, customer impact. These don't appear in the $ column but belong in the business case.</t>
        </is>
      </c>
    </row>
    <row r="6">
      <c r="A6" s="17" t="inlineStr">
        <is>
          <t>Feeds</t>
        </is>
      </c>
      <c r="B6" s="17" t="inlineStr">
        <is>
          <t>Business case §3 baseline, ROI model inputs (people, minutes, frequency), and the pain narrative for the sponsor.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2026-09-17T15:58:35Z</dcterms:created>
  <dcterms:modified xmlns:dcterms="http://purl.org/dc/terms/" xmlns:xsi="http://www.w3.org/2001/XMLSchema-instance" xsi:type="dcterms:W3CDTF">2026-09-17T15:58:35Z</dcterms:modified>
</cp:coreProperties>
</file>