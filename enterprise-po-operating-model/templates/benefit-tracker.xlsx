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s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595959"/>
      <sz val="10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9" fontId="0" fillId="0" borderId="0" pivotButton="0" quotePrefix="0" xfId="0"/>
    <xf numFmtId="9" fontId="0" fillId="3" borderId="0" pivotButton="0" quotePrefix="0" xfId="0"/>
    <xf numFmtId="165" fontId="0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26" customWidth="1" min="14" max="14"/>
  </cols>
  <sheetData>
    <row r="1">
      <c r="A1" s="1" t="inlineStr">
        <is>
          <t>Benefit Realization Tracker — &lt;Project&gt;</t>
        </is>
      </c>
    </row>
    <row r="2">
      <c r="A2" s="2" t="inlineStr">
        <is>
          <t>Phase 5 · planned vs ACTUAL benefits, quarterly after go-live · baseline must predate deployment · actuals from systems, not estimates</t>
        </is>
      </c>
    </row>
    <row r="3"/>
    <row r="4">
      <c r="A4" s="3" t="inlineStr">
        <is>
          <t>Benefit</t>
        </is>
      </c>
      <c r="B4" s="3" t="inlineStr">
        <is>
          <t>Metric</t>
        </is>
      </c>
      <c r="C4" s="3" t="inlineStr">
        <is>
          <t>Unit</t>
        </is>
      </c>
      <c r="D4" s="3" t="inlineStr">
        <is>
          <t>Baseline (before)</t>
        </is>
      </c>
      <c r="E4" s="3" t="inlineStr">
        <is>
          <t>Planned target</t>
        </is>
      </c>
      <c r="F4" s="3" t="inlineStr">
        <is>
          <t>Target date</t>
        </is>
      </c>
      <c r="G4" s="3" t="inlineStr">
        <is>
          <t>Q1 actual</t>
        </is>
      </c>
      <c r="H4" s="3" t="inlineStr">
        <is>
          <t>Q2 actual</t>
        </is>
      </c>
      <c r="I4" s="3" t="inlineStr">
        <is>
          <t>Q3 actual</t>
        </is>
      </c>
      <c r="J4" s="3" t="inlineStr">
        <is>
          <t>Q4 actual</t>
        </is>
      </c>
      <c r="K4" s="3" t="inlineStr">
        <is>
          <t>% of plan</t>
        </is>
      </c>
      <c r="L4" s="3" t="inlineStr">
        <is>
          <t>Status</t>
        </is>
      </c>
      <c r="M4" s="3" t="inlineStr">
        <is>
          <t>Direction</t>
        </is>
      </c>
      <c r="N4" s="3" t="inlineStr">
        <is>
          <t>Owner / notes</t>
        </is>
      </c>
    </row>
    <row r="5">
      <c r="A5" s="4" t="inlineStr">
        <is>
          <t>Hours saved</t>
        </is>
      </c>
      <c r="B5" s="4" t="inlineStr">
        <is>
          <t>Hours saved per month</t>
        </is>
      </c>
      <c r="C5" s="4" t="inlineStr">
        <is>
          <t>h/mo</t>
        </is>
      </c>
      <c r="D5" s="5" t="n">
        <v>0</v>
      </c>
      <c r="E5" s="5" t="n">
        <v>312</v>
      </c>
      <c r="F5" s="6" t="n">
        <v>46477</v>
      </c>
      <c r="G5" s="5" t="n">
        <v>180</v>
      </c>
      <c r="H5" s="5" t="n">
        <v>260</v>
      </c>
      <c r="I5" s="4" t="inlineStr"/>
      <c r="J5" s="4" t="inlineStr"/>
      <c r="K5" s="7">
        <f>IFERROR(IF(M5="lower",E5/LOOKUP(2,1/(G5:J5&lt;&gt;""),G5:J5),LOOKUP(2,1/(G5:J5&lt;&gt;""),G5:J5)/E5),"")</f>
        <v/>
      </c>
      <c r="L5">
        <f>IF(K5="","",IF(K5&gt;=0.9,"On track",IF(K5&gt;=0.7,"Behind","At risk")))</f>
        <v/>
      </c>
      <c r="M5" s="4" t="inlineStr">
        <is>
          <t>higher</t>
        </is>
      </c>
      <c r="N5" s="4" t="inlineStr">
        <is>
          <t>From bot logs; verify with process owner</t>
        </is>
      </c>
    </row>
    <row r="6">
      <c r="A6" s="4" t="inlineStr">
        <is>
          <t>Cycle time</t>
        </is>
      </c>
      <c r="B6" s="4" t="inlineStr">
        <is>
          <t>Invoice processing time</t>
        </is>
      </c>
      <c r="C6" s="4" t="inlineStr">
        <is>
          <t>min/task</t>
        </is>
      </c>
      <c r="D6" s="4" t="n">
        <v>15</v>
      </c>
      <c r="E6" s="4" t="n">
        <v>6</v>
      </c>
      <c r="F6" s="6" t="n">
        <v>46477</v>
      </c>
      <c r="G6" s="4" t="n">
        <v>9</v>
      </c>
      <c r="H6" s="4" t="n">
        <v>7</v>
      </c>
      <c r="I6" s="4" t="inlineStr"/>
      <c r="J6" s="4" t="inlineStr"/>
      <c r="K6" s="7">
        <f>IFERROR(IF(M6="lower",E6/LOOKUP(2,1/(G6:J6&lt;&gt;""),G6:J6),LOOKUP(2,1/(G6:J6&lt;&gt;""),G6:J6)/E6),"")</f>
        <v/>
      </c>
      <c r="L6">
        <f>IF(K6="","",IF(K6&gt;=0.9,"On track",IF(K6&gt;=0.7,"Behind","At risk")))</f>
        <v/>
      </c>
      <c r="M6" s="4" t="inlineStr">
        <is>
          <t>lower</t>
        </is>
      </c>
      <c r="N6" s="4" t="inlineStr">
        <is>
          <t>From process metrics</t>
        </is>
      </c>
    </row>
    <row r="7">
      <c r="A7" s="4" t="inlineStr">
        <is>
          <t>Error rate</t>
        </is>
      </c>
      <c r="B7" s="4" t="inlineStr">
        <is>
          <t>Rework share</t>
        </is>
      </c>
      <c r="C7" s="4" t="inlineStr">
        <is>
          <t>%</t>
        </is>
      </c>
      <c r="D7" s="8" t="n">
        <v>0.12</v>
      </c>
      <c r="E7" s="8" t="n">
        <v>0.03</v>
      </c>
      <c r="F7" s="6" t="n">
        <v>46477</v>
      </c>
      <c r="G7" s="8" t="n">
        <v>0.06</v>
      </c>
      <c r="H7" s="8" t="n">
        <v>0.04</v>
      </c>
      <c r="I7" s="4" t="inlineStr"/>
      <c r="J7" s="4" t="inlineStr"/>
      <c r="K7" s="7">
        <f>IFERROR(IF(M7="lower",E7/LOOKUP(2,1/(G7:J7&lt;&gt;""),G7:J7),LOOKUP(2,1/(G7:J7&lt;&gt;""),G7:J7)/E7),"")</f>
        <v/>
      </c>
      <c r="L7">
        <f>IF(K7="","",IF(K7&gt;=0.9,"On track",IF(K7&gt;=0.7,"Behind","At risk")))</f>
        <v/>
      </c>
      <c r="M7" s="4" t="inlineStr">
        <is>
          <t>lower</t>
        </is>
      </c>
      <c r="N7" s="4" t="inlineStr">
        <is>
          <t>Quality KPI</t>
        </is>
      </c>
    </row>
    <row r="8">
      <c r="A8" s="4" t="inlineStr">
        <is>
          <t>Adoption</t>
        </is>
      </c>
      <c r="B8" s="4" t="inlineStr">
        <is>
          <t>Active users</t>
        </is>
      </c>
      <c r="C8" s="4" t="inlineStr">
        <is>
          <t>people</t>
        </is>
      </c>
      <c r="D8" s="5" t="n">
        <v>0</v>
      </c>
      <c r="E8" s="5" t="n">
        <v>40</v>
      </c>
      <c r="F8" s="6" t="n">
        <v>46477</v>
      </c>
      <c r="G8" s="5" t="n">
        <v>22</v>
      </c>
      <c r="H8" s="5" t="n">
        <v>34</v>
      </c>
      <c r="I8" s="4" t="inlineStr"/>
      <c r="J8" s="4" t="inlineStr"/>
      <c r="K8" s="7">
        <f>IFERROR(IF(M8="lower",E8/LOOKUP(2,1/(G8:J8&lt;&gt;""),G8:J8),LOOKUP(2,1/(G8:J8&lt;&gt;""),G8:J8)/E8),"")</f>
        <v/>
      </c>
      <c r="L8">
        <f>IF(K8="","",IF(K8&gt;=0.9,"On track",IF(K8&gt;=0.7,"Behind","At risk")))</f>
        <v/>
      </c>
      <c r="M8" s="4" t="inlineStr">
        <is>
          <t>higher</t>
        </is>
      </c>
      <c r="N8" s="4" t="inlineStr">
        <is>
          <t>From adoption tracker</t>
        </is>
      </c>
    </row>
    <row r="9">
      <c r="A9" s="4" t="inlineStr">
        <is>
          <t>Cost per transaction</t>
        </is>
      </c>
      <c r="B9" s="4" t="inlineStr">
        <is>
          <t>Processing cost</t>
        </is>
      </c>
      <c r="C9" s="4" t="inlineStr">
        <is>
          <t>$</t>
        </is>
      </c>
      <c r="D9" s="9" t="n">
        <v>2.5</v>
      </c>
      <c r="E9" s="9" t="n">
        <v>1.1</v>
      </c>
      <c r="F9" s="6" t="n">
        <v>46477</v>
      </c>
      <c r="G9" s="9" t="n">
        <v>1.8</v>
      </c>
      <c r="H9" s="9" t="n">
        <v>1.4</v>
      </c>
      <c r="I9" s="4" t="inlineStr"/>
      <c r="J9" s="4" t="inlineStr"/>
      <c r="K9" s="7">
        <f>IFERROR(IF(M9="lower",E9/LOOKUP(2,1/(G9:J9&lt;&gt;""),G9:J9),LOOKUP(2,1/(G9:J9&lt;&gt;""),G9:J9)/E9),"")</f>
        <v/>
      </c>
      <c r="L9">
        <f>IF(K9="","",IF(K9&gt;=0.9,"On track",IF(K9&gt;=0.7,"Behind","At risk")))</f>
        <v/>
      </c>
      <c r="M9" s="4" t="inlineStr">
        <is>
          <t>lower</t>
        </is>
      </c>
      <c r="N9" s="4" t="inlineStr">
        <is>
          <t>Finance data</t>
        </is>
      </c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7">
        <f>IFERROR(IF(M10="lower",E10/LOOKUP(2,1/(G10:J10&lt;&gt;""),G10:J10),LOOKUP(2,1/(G10:J10&lt;&gt;""),G10:J10)/E10),"")</f>
        <v/>
      </c>
      <c r="L10">
        <f>IF(K10="","",IF(K10&gt;=0.9,"On track",IF(K10&gt;=0.7,"Behind","At risk")))</f>
        <v/>
      </c>
      <c r="M10" s="4" t="inlineStr"/>
      <c r="N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7">
        <f>IFERROR(IF(M11="lower",E11/LOOKUP(2,1/(G11:J11&lt;&gt;""),G11:J11),LOOKUP(2,1/(G11:J11&lt;&gt;""),G11:J11)/E11),"")</f>
        <v/>
      </c>
      <c r="L11">
        <f>IF(K11="","",IF(K11&gt;=0.9,"On track",IF(K11&gt;=0.7,"Behind","At risk")))</f>
        <v/>
      </c>
      <c r="M11" s="4" t="inlineStr"/>
      <c r="N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7">
        <f>IFERROR(IF(M12="lower",E12/LOOKUP(2,1/(G12:J12&lt;&gt;""),G12:J12),LOOKUP(2,1/(G12:J12&lt;&gt;""),G12:J12)/E12),"")</f>
        <v/>
      </c>
      <c r="L12">
        <f>IF(K12="","",IF(K12&gt;=0.9,"On track",IF(K12&gt;=0.7,"Behind","At risk")))</f>
        <v/>
      </c>
      <c r="M12" s="4" t="inlineStr"/>
      <c r="N12" s="4" t="inlineStr"/>
    </row>
  </sheetData>
  <mergeCells count="2">
    <mergeCell ref="A2:N2"/>
    <mergeCell ref="A1:N1"/>
  </mergeCells>
  <conditionalFormatting sqref="L5:L12">
    <cfRule type="cellIs" priority="1" operator="equal" dxfId="0">
      <formula>"On track"</formula>
    </cfRule>
    <cfRule type="cellIs" priority="2" operator="equal" dxfId="1">
      <formula>"Behind"</formula>
    </cfRule>
    <cfRule type="cellIs" priority="3" operator="equal" dxfId="2">
      <formula>"At risk"</formula>
    </cfRule>
  </conditionalFormatting>
  <dataValidations count="1">
    <dataValidation sqref="M5:M12" showDropDown="0" showInputMessage="0" showErrorMessage="0" allowBlank="1" type="list">
      <formula1>"higher,lower"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0" t="inlineStr">
        <is>
          <t>How to use the Benefit Realization Tracker</t>
        </is>
      </c>
    </row>
    <row r="2">
      <c r="A2" s="11" t="inlineStr">
        <is>
          <t>Baseline rule</t>
        </is>
      </c>
      <c r="B2" s="11" t="inlineStr">
        <is>
          <t>Baseline (before) must predate deployment. No baseline = no credible claim (org standard).</t>
        </is>
      </c>
    </row>
    <row r="3">
      <c r="A3" s="11" t="inlineStr">
        <is>
          <t>Actuals only</t>
        </is>
      </c>
      <c r="B3" s="11" t="inlineStr">
        <is>
          <t>Quarterly cells hold ACTUAL measured values from systems — never estimates. Estimates live in the business case; this tracker proves or disproves them.</t>
        </is>
      </c>
    </row>
    <row r="4">
      <c r="A4" s="11" t="inlineStr">
        <is>
          <t>% of plan</t>
        </is>
      </c>
      <c r="B4" s="11" t="inlineStr">
        <is>
          <t>Auto: latest actual ÷ planned target. Direction matters — set Direction to 'higher' (more is better, e.g. hours saved) or 'lower' (less is better, e.g. cycle time, error rate).</t>
        </is>
      </c>
    </row>
    <row r="5">
      <c r="A5" s="11" t="inlineStr">
        <is>
          <t>Status</t>
        </is>
      </c>
      <c r="B5" s="11" t="inlineStr">
        <is>
          <t>Auto: ≥90% On track · 70–89% Behind · &lt;70% At risk.</t>
        </is>
      </c>
    </row>
    <row r="6">
      <c r="A6" s="11" t="inlineStr">
        <is>
          <t>Cadence</t>
        </is>
      </c>
      <c r="B6" s="11" t="inlineStr">
        <is>
          <t>Update quarterly after go-live; feed the steering 1-pager financials table. Benefits re-validated against the business case every quarter.</t>
        </is>
      </c>
    </row>
    <row r="7">
      <c r="A7" s="11" t="inlineStr">
        <is>
          <t>Honesty rule</t>
        </is>
      </c>
      <c r="B7" s="11" t="inlineStr">
        <is>
          <t>Unachieved benefits are reviewed and explained, not hidden. A missed target with a cause beats a hidden one every time.</t>
        </is>
      </c>
    </row>
    <row r="8">
      <c r="A8" s="11" t="inlineStr">
        <is>
          <t>Linkage</t>
        </is>
      </c>
      <c r="B8" s="11" t="inlineStr">
        <is>
          <t>Hours saved here converts to $ via the ROI model hourly rate; adoption comes from the Adoption Tracker.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2026-09-17T15:37:35Z</dcterms:created>
  <dcterms:modified xmlns:dcterms="http://purl.org/dc/terms/" xmlns:xsi="http://www.w3.org/2001/XMLSchema-instance" xsi:type="dcterms:W3CDTF">2026-09-17T15:37:35Z</dcterms:modified>
</cp:coreProperties>
</file>