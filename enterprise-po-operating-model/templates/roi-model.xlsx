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Mode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$#,##0.0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i val="1"/>
      <color rgb="00808080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3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9" fontId="3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0" fillId="4" borderId="0" pivotButton="0" quotePrefix="0" xfId="0"/>
    <xf numFmtId="0" fontId="4" fillId="0" borderId="0" pivotButton="0" quotePrefix="0" xfId="0"/>
    <xf numFmtId="3" fontId="0" fillId="4" borderId="0" pivotButton="0" quotePrefix="0" xfId="0"/>
    <xf numFmtId="9" fontId="0" fillId="4" borderId="0" pivotButton="0" quotePrefix="0" xfId="0"/>
    <xf numFmtId="165" fontId="0" fillId="4" borderId="0" pivotButton="0" quotePrefix="0" xfId="0"/>
    <xf numFmtId="0" fontId="3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Internal Automation — ROI Model</t>
        </is>
      </c>
    </row>
    <row r="2">
      <c r="A2" s="2" t="inlineStr">
        <is>
          <t>Enterprise PO playbook template · conventions: 1 FTE = 2,080 h/yr · fully loaded $36,000/yr (edit inputs if your org differs)</t>
        </is>
      </c>
    </row>
    <row r="3"/>
    <row r="4">
      <c r="A4" s="3" t="inlineStr">
        <is>
          <t>SUMMARY (auto-calculated — do not edit)</t>
        </is>
      </c>
    </row>
    <row r="5">
      <c r="A5" s="4" t="inlineStr">
        <is>
          <t>Annual hours saved (steady state)</t>
        </is>
      </c>
      <c r="B5" s="5">
        <f>B36</f>
        <v/>
      </c>
      <c r="C5" t="inlineStr">
        <is>
          <t>h/yr</t>
        </is>
      </c>
    </row>
    <row r="6">
      <c r="A6" s="4" t="inlineStr">
        <is>
          <t>FTE equivalents saved</t>
        </is>
      </c>
      <c r="B6" s="6">
        <f>B36/B25</f>
        <v/>
      </c>
      <c r="C6" t="inlineStr">
        <is>
          <t>FTE</t>
        </is>
      </c>
    </row>
    <row r="7">
      <c r="A7" s="4" t="inlineStr">
        <is>
          <t>Annual savings, steady state</t>
        </is>
      </c>
      <c r="B7" s="7">
        <f>B37</f>
        <v/>
      </c>
      <c r="C7" t="inlineStr">
        <is>
          <t>$/yr</t>
        </is>
      </c>
    </row>
    <row r="8">
      <c r="A8" s="4" t="inlineStr">
        <is>
          <t>Net annual benefit (after operating cost)</t>
        </is>
      </c>
      <c r="B8" s="7">
        <f>B38</f>
        <v/>
      </c>
      <c r="C8" t="inlineStr">
        <is>
          <t>$/yr</t>
        </is>
      </c>
    </row>
    <row r="9">
      <c r="A9" s="4" t="inlineStr">
        <is>
          <t>Year-1 net benefit (ramp-adjusted)</t>
        </is>
      </c>
      <c r="B9" s="7">
        <f>B39</f>
        <v/>
      </c>
      <c r="C9" t="inlineStr">
        <is>
          <t>$</t>
        </is>
      </c>
    </row>
    <row r="10">
      <c r="A10" s="4" t="inlineStr">
        <is>
          <t>Payback period</t>
        </is>
      </c>
      <c r="B10" s="6">
        <f>B40</f>
        <v/>
      </c>
      <c r="C10" t="inlineStr">
        <is>
          <t>years</t>
        </is>
      </c>
    </row>
    <row r="11">
      <c r="A11" s="4" t="inlineStr">
        <is>
          <t>3-year cumulative net benefit</t>
        </is>
      </c>
      <c r="B11" s="7">
        <f>B41</f>
        <v/>
      </c>
      <c r="C11" t="inlineStr">
        <is>
          <t>$</t>
        </is>
      </c>
    </row>
    <row r="12">
      <c r="A12" s="4" t="inlineStr">
        <is>
          <t>3-year ROI (net / one-time cost)</t>
        </is>
      </c>
      <c r="B12" s="8">
        <f>B42</f>
        <v/>
      </c>
    </row>
    <row r="13"/>
    <row r="14"/>
    <row r="15">
      <c r="A15" s="9" t="inlineStr">
        <is>
          <t>INPUTS (edit the yellow cells only)</t>
        </is>
      </c>
    </row>
    <row r="16">
      <c r="A16" s="10" t="inlineStr">
        <is>
          <t>Opportunity / process name</t>
        </is>
      </c>
      <c r="B16" s="11" t="inlineStr">
        <is>
          <t>Example: Invoice processing</t>
        </is>
      </c>
      <c r="C16" t="inlineStr"/>
      <c r="D16" s="12" t="inlineStr">
        <is>
          <t>Descriptive name used in the business case</t>
        </is>
      </c>
    </row>
    <row r="17">
      <c r="A17" s="10" t="inlineStr">
        <is>
          <t>People performing the task</t>
        </is>
      </c>
      <c r="B17" s="13" t="n">
        <v>30</v>
      </c>
      <c r="C17" t="inlineStr">
        <is>
          <t>people</t>
        </is>
      </c>
      <c r="D17" s="12" t="inlineStr">
        <is>
          <t>Number of employees who do this task today (baseline, before automation)</t>
        </is>
      </c>
    </row>
    <row r="18">
      <c r="A18" s="10" t="inlineStr">
        <is>
          <t>Average time per task</t>
        </is>
      </c>
      <c r="B18" s="13" t="n">
        <v>30</v>
      </c>
      <c r="C18" t="inlineStr">
        <is>
          <t>min</t>
        </is>
      </c>
      <c r="D18" s="12" t="inlineStr">
        <is>
          <t>Measured or estimated average handling time per occurrence</t>
        </is>
      </c>
    </row>
    <row r="19">
      <c r="A19" s="10" t="inlineStr">
        <is>
          <t>Task frequency</t>
        </is>
      </c>
      <c r="B19" s="13" t="n">
        <v>10</v>
      </c>
      <c r="C19" t="inlineStr">
        <is>
          <t>×/person/week</t>
        </is>
      </c>
      <c r="D19" s="12" t="inlineStr">
        <is>
          <t>How often one person performs the task per week</t>
        </is>
      </c>
    </row>
    <row r="20">
      <c r="A20" s="10" t="inlineStr">
        <is>
          <t>Working weeks per year</t>
        </is>
      </c>
      <c r="B20" s="13" t="n">
        <v>52</v>
      </c>
      <c r="C20" t="inlineStr">
        <is>
          <t>weeks</t>
        </is>
      </c>
      <c r="D20" s="12" t="inlineStr">
        <is>
          <t>52 × 40 h = 2,080 h/yr convention; lower if your org uses a different basis</t>
        </is>
      </c>
    </row>
    <row r="21">
      <c r="A21" s="10" t="inlineStr">
        <is>
          <t>Efficiency gain target</t>
        </is>
      </c>
      <c r="B21" s="14" t="n">
        <v>0.6</v>
      </c>
      <c r="C21" t="inlineStr">
        <is>
          <t>%</t>
        </is>
      </c>
      <c r="D21" s="12" t="inlineStr">
        <is>
          <t>Share of task time eliminated by the automation (0–1). Conservative: 0.3–0.6 for first-year estimates</t>
        </is>
      </c>
    </row>
    <row r="22">
      <c r="A22" s="10" t="inlineStr">
        <is>
          <t>Steady-state adoption rate</t>
        </is>
      </c>
      <c r="B22" s="14" t="n">
        <v>0.8</v>
      </c>
      <c r="C22" t="inlineStr">
        <is>
          <t>%</t>
        </is>
      </c>
      <c r="D22" s="12" t="inlineStr">
        <is>
          <t>Share of target users actually using the automation at steady state (0–1)</t>
        </is>
      </c>
    </row>
    <row r="23">
      <c r="A23" s="10" t="inlineStr">
        <is>
          <t>Months to full adoption</t>
        </is>
      </c>
      <c r="B23" s="13" t="n">
        <v>6</v>
      </c>
      <c r="C23" t="inlineStr">
        <is>
          <t>months</t>
        </is>
      </c>
      <c r="D23" s="12" t="inlineStr">
        <is>
          <t>Ramp from 0 to full benefit over this period (drives Year-1 ramp factor)</t>
        </is>
      </c>
    </row>
    <row r="24">
      <c r="A24" s="10" t="inlineStr">
        <is>
          <t>Fully loaded cost per FTE</t>
        </is>
      </c>
      <c r="B24" s="15" t="n">
        <v>36000</v>
      </c>
      <c r="C24" t="inlineStr">
        <is>
          <t>$/yr</t>
        </is>
      </c>
      <c r="D24" s="12" t="inlineStr">
        <is>
          <t>Org standard: $3,000/mo × 12 = $36,000/yr. Adjust to your payroll reality</t>
        </is>
      </c>
    </row>
    <row r="25">
      <c r="A25" s="10" t="inlineStr">
        <is>
          <t>Hours per FTE per year</t>
        </is>
      </c>
      <c r="B25" s="13" t="n">
        <v>2080</v>
      </c>
      <c r="C25" t="inlineStr">
        <is>
          <t>h</t>
        </is>
      </c>
      <c r="D25" s="12" t="inlineStr">
        <is>
          <t>Used for FTE conversion and hourly rate</t>
        </is>
      </c>
    </row>
    <row r="26">
      <c r="A26" s="10" t="inlineStr">
        <is>
          <t>One-time implementation cost</t>
        </is>
      </c>
      <c r="B26" s="15" t="n">
        <v>25000</v>
      </c>
      <c r="C26" t="inlineStr">
        <is>
          <t>$</t>
        </is>
      </c>
      <c r="D26" s="12" t="inlineStr">
        <is>
          <t>Build/buy + integration + change/training costs, one-time</t>
        </is>
      </c>
    </row>
    <row r="27">
      <c r="A27" s="10" t="inlineStr">
        <is>
          <t>Ongoing annual operating cost</t>
        </is>
      </c>
      <c r="B27" s="15" t="n">
        <v>5000</v>
      </c>
      <c r="C27" t="inlineStr">
        <is>
          <t>$/yr</t>
        </is>
      </c>
      <c r="D27" s="12" t="inlineStr">
        <is>
          <t>Licenses, support, platform usage per year</t>
        </is>
      </c>
    </row>
    <row r="28">
      <c r="A28" s="10" t="inlineStr">
        <is>
          <t>Additional annual hard savings</t>
        </is>
      </c>
      <c r="B28" s="15" t="n">
        <v>0</v>
      </c>
      <c r="C28" t="inlineStr">
        <is>
          <t>$/yr</t>
        </is>
      </c>
      <c r="D28" s="12" t="inlineStr">
        <is>
          <t>Quantifiable extras: error reduction, penalties avoided, materials, capacity to avoid new hires</t>
        </is>
      </c>
    </row>
    <row r="29"/>
    <row r="30"/>
    <row r="31">
      <c r="A31" s="16" t="inlineStr">
        <is>
          <t>CALCULATIONS (derivation — do not edit)</t>
        </is>
      </c>
    </row>
    <row r="32">
      <c r="A32" s="10" t="inlineStr">
        <is>
          <t>Annual hours today</t>
        </is>
      </c>
      <c r="B32" s="17">
        <f>B17*B18/60*B19*B20</f>
        <v/>
      </c>
    </row>
    <row r="33">
      <c r="A33" s="10" t="inlineStr">
        <is>
          <t>FTE equivalent today</t>
        </is>
      </c>
      <c r="B33" s="18">
        <f>B32/B25</f>
        <v/>
      </c>
    </row>
    <row r="34">
      <c r="A34" s="10" t="inlineStr">
        <is>
          <t>Hourly rate</t>
        </is>
      </c>
      <c r="B34" s="19">
        <f>B24/B25</f>
        <v/>
      </c>
    </row>
    <row r="35">
      <c r="A35" s="10" t="inlineStr">
        <is>
          <t>Year-1 ramp factor</t>
        </is>
      </c>
      <c r="B35" s="20">
        <f>MAX(0,(12-B23/2)/12)</f>
        <v/>
      </c>
      <c r="D35" s="12" t="inlineStr">
        <is>
          <t>Linear ramp from 0 to full benefit over B23 months; avg benefit in the first 12 months</t>
        </is>
      </c>
    </row>
    <row r="36">
      <c r="A36" s="10" t="inlineStr">
        <is>
          <t>Steady-state hours saved</t>
        </is>
      </c>
      <c r="B36" s="17">
        <f>B32*B21*B22</f>
        <v/>
      </c>
    </row>
    <row r="37">
      <c r="A37" s="10" t="inlineStr">
        <is>
          <t>Steady-state annual savings</t>
        </is>
      </c>
      <c r="B37" s="21">
        <f>B36*B34+B28</f>
        <v/>
      </c>
    </row>
    <row r="38">
      <c r="A38" s="10" t="inlineStr">
        <is>
          <t>Net annual benefit</t>
        </is>
      </c>
      <c r="B38" s="21">
        <f>B37-B27</f>
        <v/>
      </c>
    </row>
    <row r="39">
      <c r="A39" s="10" t="inlineStr">
        <is>
          <t>Year-1 net benefit</t>
        </is>
      </c>
      <c r="B39" s="21">
        <f>B38*B35</f>
        <v/>
      </c>
    </row>
    <row r="40">
      <c r="A40" s="10" t="inlineStr">
        <is>
          <t>Payback period (years)</t>
        </is>
      </c>
      <c r="B40" s="18">
        <f>IFERROR(B26/B38,"n/a")</f>
        <v/>
      </c>
    </row>
    <row r="41">
      <c r="A41" s="10" t="inlineStr">
        <is>
          <t>3-year cumulative net benefit</t>
        </is>
      </c>
      <c r="B41" s="21">
        <f>B39+B38*2-B26</f>
        <v/>
      </c>
    </row>
    <row r="42">
      <c r="A42" s="10" t="inlineStr">
        <is>
          <t>3-year ROI</t>
        </is>
      </c>
      <c r="B42" s="20">
        <f>IFERROR(B41/B26,"n/a")</f>
        <v/>
      </c>
    </row>
  </sheetData>
  <mergeCells count="2">
    <mergeCell ref="A2:F2"/>
    <mergeCell ref="A1:F1"/>
  </mergeCells>
  <conditionalFormatting sqref="B10">
    <cfRule type="cellIs" priority="1" operator="greaterThan" dxfId="0">
      <formula>3</formula>
    </cfRule>
    <cfRule type="cellIs" priority="2" operator="lessThanOrEqual" dxfId="1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 t="inlineStr">
        <is>
          <t>How to use this model</t>
        </is>
      </c>
    </row>
    <row r="2">
      <c r="A2" t="inlineStr">
        <is>
          <t>1. Edit ONLY the yellow input cells on the 'ROI Model' sheet. Everything else recalculates automatically.</t>
        </is>
      </c>
    </row>
    <row r="3">
      <c r="A3" t="inlineStr">
        <is>
          <t>2. Save a copy per opportunity; never overwrite the template. File name: roi-&lt;process-name&gt;.xlsx</t>
        </is>
      </c>
    </row>
    <row r="4">
      <c r="A4" t="inlineStr">
        <is>
          <t>3. Fill the matching Business Case Canvas with the summary figures (hours, FTE, savings, payback).</t>
        </is>
      </c>
    </row>
    <row r="5">
      <c r="A5" t="inlineStr"/>
    </row>
    <row r="6">
      <c r="A6" s="22" t="inlineStr">
        <is>
          <t>Conventions</t>
        </is>
      </c>
    </row>
    <row r="7">
      <c r="A7" t="inlineStr">
        <is>
          <t>- 1 FTE = 2,080 h/yr (52 weeks × 40 h).</t>
        </is>
      </c>
    </row>
    <row r="8">
      <c r="A8" t="inlineStr">
        <is>
          <t>- Fully loaded employee cost = $36,000/yr ($3,000/mo × 12). Hourly rate derives automatically ($36,000/2,080 ≈ $17.31/h).</t>
        </is>
      </c>
    </row>
    <row r="9">
      <c r="A9" t="inlineStr">
        <is>
          <t>- Both are org standards; adjust in the inputs if payroll reality differs, and say so in the business case.</t>
        </is>
      </c>
    </row>
    <row r="10">
      <c r="A10" t="inlineStr"/>
    </row>
    <row r="11">
      <c r="A11" s="22" t="inlineStr">
        <is>
          <t>Method notes</t>
        </is>
      </c>
    </row>
    <row r="12">
      <c r="A12" t="inlineStr">
        <is>
          <t>- Baseline must be captured BEFORE deployment. No baseline = no credible ROI claim (org AI-strategy standard).</t>
        </is>
      </c>
    </row>
    <row r="13">
      <c r="A13" t="inlineStr">
        <is>
          <t>- Measure OUTCOMES (hours saved, cycle time, error rate, cost per transaction), not activity (logins, messages).</t>
        </is>
      </c>
    </row>
    <row r="14">
      <c r="A14" t="inlineStr">
        <is>
          <t>- Year-1 ramp factor assumes benefits grow linearly from 0 to steady state over 'Months to full adoption'. At 6 months → 75% of steady-state benefit in year 1.</t>
        </is>
      </c>
    </row>
    <row r="15">
      <c r="A15" t="inlineStr">
        <is>
          <t>- Be conservative: use 30–60% efficiency gain and 70–85% adoption for first estimates; revisit with real data after go-live.</t>
        </is>
      </c>
    </row>
    <row r="16">
      <c r="A16" t="inlineStr"/>
    </row>
    <row r="17">
      <c r="A17" s="22" t="inlineStr">
        <is>
          <t>Hard vs soft benefits</t>
        </is>
      </c>
    </row>
    <row r="18">
      <c r="A18" t="inlineStr">
        <is>
          <t>- HARD (count in the model): hours freed (at hourly rate), error/penalty reduction, materials, avoided hires.</t>
        </is>
      </c>
    </row>
    <row r="19">
      <c r="A19" t="inlineStr">
        <is>
          <t>- SOFT (state qualitatively in the business case, do not inflate the model): employee satisfaction, compliance posture, speed/quality improvements, capacity for higher-value work.</t>
        </is>
      </c>
    </row>
    <row r="20">
      <c r="A20" t="inlineStr"/>
    </row>
    <row r="21">
      <c r="A21" s="22" t="inlineStr">
        <is>
          <t>Review cadence</t>
        </is>
      </c>
    </row>
    <row r="22">
      <c r="A22" t="inlineStr">
        <is>
          <t>- Re-validate benefits quarterly after go-live (Phase 5 of the EPO playbook). Update actuals; unachieved benefits get reviewed, not hidden.</t>
        </is>
      </c>
    </row>
    <row r="23">
      <c r="A23" t="inlineStr">
        <is>
          <t>- If payback &gt; 3 years or net benefit ≤ 0, challenge the case before funding.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2026-09-17T09:54:05Z</dcterms:created>
  <dcterms:modified xmlns:dcterms="http://purl.org/dc/terms/" xmlns:xsi="http://www.w3.org/2001/XMLSchema-instance" xsi:type="dcterms:W3CDTF">2026-09-17T09:54:05Z</dcterms:modified>
</cp:coreProperties>
</file>