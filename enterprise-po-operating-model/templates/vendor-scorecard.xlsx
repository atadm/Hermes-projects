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595959"/>
      <sz val="10"/>
    </font>
    <font>
      <b val="1"/>
    </font>
    <font>
      <i val="1"/>
      <color rgb="00808080"/>
    </font>
    <font>
      <i val="1"/>
      <color rgb="00595959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left"/>
    </xf>
    <xf numFmtId="9" fontId="0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3" fillId="4" borderId="0" pivotButton="0" quotePrefix="0" xfId="0"/>
    <xf numFmtId="9" fontId="3" fillId="4" borderId="0" pivotButton="0" quotePrefix="0" xfId="0"/>
    <xf numFmtId="2" fontId="3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Vendor Comparison Scorecard — &lt;Requirement&gt;</t>
        </is>
      </c>
    </row>
    <row r="2">
      <c r="A2" s="2" t="inlineStr">
        <is>
          <t>Phase 2 · weighted criteria · score 1–5 per vendor · weighted total (max 5) · top 2 go to PoC</t>
        </is>
      </c>
    </row>
    <row r="3"/>
    <row r="4">
      <c r="A4" s="3" t="inlineStr">
        <is>
          <t>Criterion</t>
        </is>
      </c>
      <c r="B4" s="3" t="inlineStr">
        <is>
          <t>Weight</t>
        </is>
      </c>
      <c r="C4" s="3" t="inlineStr">
        <is>
          <t>Vendor A</t>
        </is>
      </c>
      <c r="D4" s="3" t="inlineStr">
        <is>
          <t>Vendor B</t>
        </is>
      </c>
      <c r="E4" s="3" t="inlineStr">
        <is>
          <t>Vendor C</t>
        </is>
      </c>
      <c r="F4" s="3" t="inlineStr">
        <is>
          <t>Notes / evidence</t>
        </is>
      </c>
    </row>
    <row r="5">
      <c r="A5" s="4" t="inlineStr">
        <is>
          <t>Functional fit</t>
        </is>
      </c>
      <c r="B5" s="5" t="n">
        <v>0.15</v>
      </c>
      <c r="C5" s="6" t="n">
        <v>4</v>
      </c>
      <c r="D5" s="6" t="n">
        <v>3</v>
      </c>
      <c r="E5" s="6" t="n">
        <v>2</v>
      </c>
      <c r="F5" s="7" t="inlineStr">
        <is>
          <t>Score against RFI requirements</t>
        </is>
      </c>
    </row>
    <row r="6">
      <c r="A6" s="4" t="inlineStr">
        <is>
          <t>TCO 3-yr (higher score = lower cost)</t>
        </is>
      </c>
      <c r="B6" s="5" t="n">
        <v>0.15</v>
      </c>
      <c r="C6" s="6" t="n">
        <v>3</v>
      </c>
      <c r="D6" s="6" t="n">
        <v>4</v>
      </c>
      <c r="E6" s="6" t="n">
        <v>5</v>
      </c>
      <c r="F6" s="7" t="inlineStr">
        <is>
          <t>From vendor pricing + internal effort</t>
        </is>
      </c>
    </row>
    <row r="7">
      <c r="A7" s="4" t="inlineStr">
        <is>
          <t>Integration capability</t>
        </is>
      </c>
      <c r="B7" s="5" t="n">
        <v>0.1</v>
      </c>
      <c r="C7" s="6" t="n">
        <v>4</v>
      </c>
      <c r="D7" s="6" t="n">
        <v>3</v>
      </c>
      <c r="E7" s="6" t="n">
        <v>2</v>
      </c>
      <c r="F7" s="7" t="inlineStr">
        <is>
          <t>APIs, connectors, data exports</t>
        </is>
      </c>
    </row>
    <row r="8">
      <c r="A8" s="4" t="inlineStr">
        <is>
          <t>Implementation effort</t>
        </is>
      </c>
      <c r="B8" s="5" t="n">
        <v>0.1</v>
      </c>
      <c r="C8" s="6" t="n">
        <v>4</v>
      </c>
      <c r="D8" s="6" t="n">
        <v>3</v>
      </c>
      <c r="E8" s="6" t="n">
        <v>3</v>
      </c>
      <c r="F8" s="7" t="inlineStr"/>
    </row>
    <row r="9">
      <c r="A9" s="4" t="inlineStr">
        <is>
          <t>Support &amp; SLAs</t>
        </is>
      </c>
      <c r="B9" s="5" t="n">
        <v>0.08</v>
      </c>
      <c r="C9" s="6" t="n">
        <v>3</v>
      </c>
      <c r="D9" s="6" t="n">
        <v>4</v>
      </c>
      <c r="E9" s="6" t="n">
        <v>3</v>
      </c>
      <c r="F9" s="7" t="inlineStr"/>
    </row>
    <row r="10">
      <c r="A10" s="4" t="inlineStr">
        <is>
          <t>Security &amp; compliance</t>
        </is>
      </c>
      <c r="B10" s="5" t="n">
        <v>0.12</v>
      </c>
      <c r="C10" s="6" t="n">
        <v>4</v>
      </c>
      <c r="D10" s="6" t="n">
        <v>5</v>
      </c>
      <c r="E10" s="6" t="n">
        <v>4</v>
      </c>
      <c r="F10" s="7" t="inlineStr">
        <is>
          <t>Certifications (ISO, SOC2), data residency, EU AI Act posture</t>
        </is>
      </c>
    </row>
    <row r="11">
      <c r="A11" s="4" t="inlineStr">
        <is>
          <t>Vendor stability &amp; roadmap</t>
        </is>
      </c>
      <c r="B11" s="5" t="n">
        <v>0.08</v>
      </c>
      <c r="C11" s="6" t="n">
        <v>3</v>
      </c>
      <c r="D11" s="6" t="n">
        <v>4</v>
      </c>
      <c r="E11" s="6" t="n">
        <v>5</v>
      </c>
      <c r="F11" s="7" t="inlineStr"/>
    </row>
    <row r="12">
      <c r="A12" s="4" t="inlineStr">
        <is>
          <t>References / customer success</t>
        </is>
      </c>
      <c r="B12" s="5" t="n">
        <v>0.1</v>
      </c>
      <c r="C12" s="6" t="n">
        <v>4</v>
      </c>
      <c r="D12" s="6" t="n">
        <v>3</v>
      </c>
      <c r="E12" s="6" t="n">
        <v>2</v>
      </c>
      <c r="F12" s="7" t="inlineStr">
        <is>
          <t>Call 2 references per shortlisted vendor</t>
        </is>
      </c>
    </row>
    <row r="13">
      <c r="A13" s="4" t="inlineStr">
        <is>
          <t>Training &amp; change support</t>
        </is>
      </c>
      <c r="B13" s="5" t="n">
        <v>0.07000000000000001</v>
      </c>
      <c r="C13" s="6" t="n">
        <v>3</v>
      </c>
      <c r="D13" s="6" t="n">
        <v>4</v>
      </c>
      <c r="E13" s="6" t="n">
        <v>2</v>
      </c>
      <c r="F13" s="7" t="inlineStr"/>
    </row>
    <row r="14">
      <c r="A14" s="4" t="inlineStr">
        <is>
          <t>Contract flexibility</t>
        </is>
      </c>
      <c r="B14" s="5" t="n">
        <v>0.05</v>
      </c>
      <c r="C14" s="6" t="n">
        <v>3</v>
      </c>
      <c r="D14" s="6" t="n">
        <v>4</v>
      </c>
      <c r="E14" s="6" t="n">
        <v>3</v>
      </c>
      <c r="F14" s="7" t="inlineStr">
        <is>
          <t>Terms, exit clauses, pricing model</t>
        </is>
      </c>
    </row>
    <row r="15"/>
    <row r="16">
      <c r="A16" s="8" t="inlineStr">
        <is>
          <t>Weighted total</t>
        </is>
      </c>
      <c r="B16" s="9" t="inlineStr">
        <is>
          <t>100%</t>
        </is>
      </c>
      <c r="C16" s="10">
        <f>SUMPRODUCT($B$5:$B$14,C5:C14)</f>
        <v/>
      </c>
      <c r="D16" s="10">
        <f>SUMPRODUCT($B$5:$B$14,D5:D14)</f>
        <v/>
      </c>
      <c r="E16" s="10">
        <f>SUMPRODUCT($B$5:$B$14,E5:E14)</f>
        <v/>
      </c>
      <c r="F16" s="11" t="inlineStr">
        <is>
          <t>Highest = shortlist leader</t>
        </is>
      </c>
    </row>
    <row r="17">
      <c r="A17" s="8" t="inlineStr">
        <is>
          <t>Rank</t>
        </is>
      </c>
      <c r="C17" s="8">
        <f>RANK(C16,$C$16:$E$16)</f>
        <v/>
      </c>
      <c r="D17" s="8">
        <f>RANK(D16,$C$16:$E$16)</f>
        <v/>
      </c>
      <c r="E17" s="8">
        <f>RANK(E16,$C$16:$E$16)</f>
        <v/>
      </c>
    </row>
    <row r="18">
      <c r="A18" s="8" t="inlineStr">
        <is>
          <t>PoC shortlist</t>
        </is>
      </c>
      <c r="C18" s="8">
        <f>IF(C17&lt;=2,"PoC","")</f>
        <v/>
      </c>
      <c r="D18" s="8">
        <f>IF(D17&lt;=2,"PoC","")</f>
        <v/>
      </c>
      <c r="E18" s="8">
        <f>IF(E17&lt;=2,"PoC","")</f>
        <v/>
      </c>
      <c r="F18" s="11" t="inlineStr">
        <is>
          <t>Top 2 go to PoC (poc-evaluation.md)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2" t="inlineStr">
        <is>
          <t>How to use the Vendor Scorecard</t>
        </is>
      </c>
    </row>
    <row r="2">
      <c r="A2" s="13" t="inlineStr">
        <is>
          <t>Scoring</t>
        </is>
      </c>
      <c r="B2" s="13" t="inlineStr">
        <is>
          <t>1 = poor / no fit · 5 = excellent. Score vendors AFTER the RFI responses, using evidence, not marketing.</t>
        </is>
      </c>
    </row>
    <row r="3">
      <c r="A3" s="13" t="inlineStr">
        <is>
          <t>TCO criterion</t>
        </is>
      </c>
      <c r="B3" s="13" t="inlineStr">
        <is>
          <t>Score is inverse to cost: cheapest TCO scores 5. Collect pricing separately; do not blend raw $ into the score.</t>
        </is>
      </c>
    </row>
    <row r="4">
      <c r="A4" s="13" t="inlineStr">
        <is>
          <t>Who scores</t>
        </is>
      </c>
      <c r="B4" s="13" t="inlineStr">
        <is>
          <t>EPO + procurement + solution architect + process owner, independently, then average. Disputes &gt; 1 point → discuss with evidence.</t>
        </is>
      </c>
    </row>
    <row r="5">
      <c r="A5" s="13" t="inlineStr">
        <is>
          <t>Shortlist</t>
        </is>
      </c>
      <c r="B5" s="13" t="inlineStr">
        <is>
          <t>Top 2 by weighted total go to PoC. Never PoC 3+ vendors — effort explodes, decisions blur.</t>
        </is>
      </c>
    </row>
    <row r="6">
      <c r="A6" s="13" t="inlineStr">
        <is>
          <t>Compliance first</t>
        </is>
      </c>
      <c r="B6" s="13" t="inlineStr">
        <is>
          <t>If a vendor fails security/compliance or data-residency checks, they are out regardless of score (veto criterion).</t>
        </is>
      </c>
    </row>
    <row r="7">
      <c r="A7" s="13" t="inlineStr">
        <is>
          <t>Decision</t>
        </is>
      </c>
      <c r="B7" s="13" t="inlineStr">
        <is>
          <t>PoC results + reference calls + commercial negotiation inform the final choice at Gate 3. Log it in the Decision 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2026-09-17T15:48:20Z</dcterms:created>
  <dcterms:modified xmlns:dcterms="http://purl.org/dc/terms/" xmlns:xsi="http://www.w3.org/2001/XMLSchema-instance" xsi:type="dcterms:W3CDTF">2026-09-17T15:48:20Z</dcterms:modified>
</cp:coreProperties>
</file>