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  <sheet xmlns:r="http://schemas.openxmlformats.org/officeDocument/2006/relationships" name="Legend &amp; Guide" sheetId="2" state="visible" r:id="rId2"/>
  </sheets>
  <definedNames>
    <definedName name="_xlnm._FilterDatabase" localSheetId="0" hidden="1">'RAID Log'!$A$4:$M$14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164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18" customWidth="1" min="4" max="4"/>
    <col width="12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42" customWidth="1" min="11" max="11"/>
    <col width="12" customWidth="1" min="12" max="12"/>
    <col width="22" customWidth="1" min="13" max="13"/>
  </cols>
  <sheetData>
    <row r="1">
      <c r="A1" s="1" t="inlineStr">
        <is>
          <t>RAID Log — &lt;Project / Team&gt;</t>
        </is>
      </c>
    </row>
    <row r="2">
      <c r="A2" s="2" t="inlineStr">
        <is>
          <t>Risks · Assumptions · Issues · Dependencies — update weekly · top 3 risks/issues feed the steering 1-pager · decisions made here go to the Decision Log</t>
        </is>
      </c>
    </row>
    <row r="3"/>
    <row r="4">
      <c r="A4" s="3" t="inlineStr">
        <is>
          <t>Type</t>
        </is>
      </c>
      <c r="B4" s="3" t="inlineStr">
        <is>
          <t>ID</t>
        </is>
      </c>
      <c r="C4" s="3" t="inlineStr">
        <is>
          <t>Title / description</t>
        </is>
      </c>
      <c r="D4" s="3" t="inlineStr">
        <is>
          <t>Owner</t>
        </is>
      </c>
      <c r="E4" s="3" t="inlineStr">
        <is>
          <t>Raised</t>
        </is>
      </c>
      <c r="F4" s="3" t="inlineStr">
        <is>
          <t>Status</t>
        </is>
      </c>
      <c r="G4" s="3" t="inlineStr">
        <is>
          <t>RAG</t>
        </is>
      </c>
      <c r="H4" s="3" t="inlineStr">
        <is>
          <t>Impact (1–5)</t>
        </is>
      </c>
      <c r="I4" s="3" t="inlineStr">
        <is>
          <t>Probability (1–5)</t>
        </is>
      </c>
      <c r="J4" s="3" t="inlineStr">
        <is>
          <t>Exposure</t>
        </is>
      </c>
      <c r="K4" s="3" t="inlineStr">
        <is>
          <t>Mitigation / action plan</t>
        </is>
      </c>
      <c r="L4" s="3" t="inlineStr">
        <is>
          <t>Target date</t>
        </is>
      </c>
      <c r="M4" s="3" t="inlineStr">
        <is>
          <t>Notes</t>
        </is>
      </c>
    </row>
    <row r="5">
      <c r="A5" s="4" t="inlineStr">
        <is>
          <t>R</t>
        </is>
      </c>
      <c r="B5" s="4" t="inlineStr">
        <is>
          <t>R-001</t>
        </is>
      </c>
      <c r="C5" s="5" t="inlineStr">
        <is>
          <t>Vendor delivery slips on core integration</t>
        </is>
      </c>
      <c r="D5" s="4" t="inlineStr">
        <is>
          <t>EPO / Vendor mgr</t>
        </is>
      </c>
      <c r="E5" s="6" t="n">
        <v>46282</v>
      </c>
      <c r="F5" s="4" t="inlineStr">
        <is>
          <t>Open</t>
        </is>
      </c>
      <c r="G5" s="4" t="inlineStr">
        <is>
          <t>Red</t>
        </is>
      </c>
      <c r="H5" s="4" t="n">
        <v>4</v>
      </c>
      <c r="I5" s="4" t="n">
        <v>3</v>
      </c>
      <c r="J5">
        <f>IF(AND(H5&lt;&gt;"",I5&lt;&gt;""),H5*I5,"")</f>
        <v/>
      </c>
      <c r="K5" s="5" t="inlineStr">
        <is>
          <t>Weekly vendor checkpoint; fallback to in-house integration</t>
        </is>
      </c>
      <c r="L5" s="6" t="n">
        <v>46371</v>
      </c>
      <c r="M5" s="4" t="inlineStr"/>
    </row>
    <row r="6">
      <c r="A6" s="4" t="inlineStr">
        <is>
          <t>A</t>
        </is>
      </c>
      <c r="B6" s="4" t="inlineStr">
        <is>
          <t>A-001</t>
        </is>
      </c>
      <c r="C6" s="5" t="inlineStr">
        <is>
          <t>In-house team has capacity for UAT in Q4</t>
        </is>
      </c>
      <c r="D6" s="4" t="inlineStr">
        <is>
          <t>EPO</t>
        </is>
      </c>
      <c r="E6" s="6" t="n">
        <v>46282</v>
      </c>
      <c r="F6" s="4" t="inlineStr">
        <is>
          <t>Open</t>
        </is>
      </c>
      <c r="G6" s="4" t="inlineStr">
        <is>
          <t>Yellow</t>
        </is>
      </c>
      <c r="H6" s="4" t="inlineStr"/>
      <c r="I6" s="4" t="inlineStr"/>
      <c r="J6">
        <f>IF(AND(H6&lt;&gt;"",I6&lt;&gt;""),H6*I6,"")</f>
        <v/>
      </c>
      <c r="K6" s="5" t="inlineStr">
        <is>
          <t>Confirm staffing with delivery lead in November</t>
        </is>
      </c>
      <c r="L6" s="6" t="n">
        <v>46346</v>
      </c>
      <c r="M6" s="4" t="inlineStr"/>
    </row>
    <row r="7">
      <c r="A7" s="4" t="inlineStr">
        <is>
          <t>I</t>
        </is>
      </c>
      <c r="B7" s="4" t="inlineStr">
        <is>
          <t>I-001</t>
        </is>
      </c>
      <c r="C7" s="5" t="inlineStr">
        <is>
          <t>Licensing cost overrun on platform seats</t>
        </is>
      </c>
      <c r="D7" s="4" t="inlineStr">
        <is>
          <t>EPO / Procurement</t>
        </is>
      </c>
      <c r="E7" s="6" t="n">
        <v>46282</v>
      </c>
      <c r="F7" s="4" t="inlineStr">
        <is>
          <t>Mitigating</t>
        </is>
      </c>
      <c r="G7" s="4" t="inlineStr">
        <is>
          <t>Yellow</t>
        </is>
      </c>
      <c r="H7" s="4" t="n">
        <v>3</v>
      </c>
      <c r="I7" s="4" t="inlineStr"/>
      <c r="J7">
        <f>IF(AND(H7&lt;&gt;"",I7&lt;&gt;""),H7*I7,"")</f>
        <v/>
      </c>
      <c r="K7" s="5" t="inlineStr">
        <is>
          <t>Renegotiate tier; reduce seat count by 15%</t>
        </is>
      </c>
      <c r="L7" s="6" t="n">
        <v>46326</v>
      </c>
      <c r="M7" s="4" t="inlineStr"/>
    </row>
    <row r="8">
      <c r="A8" s="4" t="inlineStr">
        <is>
          <t>D</t>
        </is>
      </c>
      <c r="B8" s="4" t="inlineStr">
        <is>
          <t>D-001</t>
        </is>
      </c>
      <c r="C8" s="5" t="inlineStr">
        <is>
          <t>Security review sign-off before go-live</t>
        </is>
      </c>
      <c r="D8" s="4" t="inlineStr">
        <is>
          <t>Security / EPO</t>
        </is>
      </c>
      <c r="E8" s="6" t="n">
        <v>46282</v>
      </c>
      <c r="F8" s="4" t="inlineStr">
        <is>
          <t>Monitoring</t>
        </is>
      </c>
      <c r="G8" s="4" t="inlineStr">
        <is>
          <t>Yellow</t>
        </is>
      </c>
      <c r="H8" s="4" t="inlineStr"/>
      <c r="I8" s="4" t="inlineStr"/>
      <c r="J8">
        <f>IF(AND(H8&lt;&gt;"",I8&lt;&gt;""),H8*I8,"")</f>
        <v/>
      </c>
      <c r="K8" s="5" t="inlineStr">
        <is>
          <t>Schedule review 4 weeks before go-live</t>
        </is>
      </c>
      <c r="L8" s="6" t="n">
        <v>46357</v>
      </c>
      <c r="M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>
        <f>IF(AND(H9&lt;&gt;"",I9&lt;&gt;""),H9*I9,"")</f>
        <v/>
      </c>
      <c r="K9" s="4" t="inlineStr"/>
      <c r="L9" s="4" t="inlineStr"/>
      <c r="M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>
        <f>IF(AND(H10&lt;&gt;"",I10&lt;&gt;""),H10*I10,"")</f>
        <v/>
      </c>
      <c r="K10" s="4" t="inlineStr"/>
      <c r="L10" s="4" t="inlineStr"/>
      <c r="M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>
        <f>IF(AND(H11&lt;&gt;"",I11&lt;&gt;""),H11*I11,"")</f>
        <v/>
      </c>
      <c r="K11" s="4" t="inlineStr"/>
      <c r="L11" s="4" t="inlineStr"/>
      <c r="M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>
        <f>IF(AND(H12&lt;&gt;"",I12&lt;&gt;""),H12*I12,"")</f>
        <v/>
      </c>
      <c r="K12" s="4" t="inlineStr"/>
      <c r="L12" s="4" t="inlineStr"/>
      <c r="M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>
        <f>IF(AND(H13&lt;&gt;"",I13&lt;&gt;""),H13*I13,"")</f>
        <v/>
      </c>
      <c r="K13" s="4" t="inlineStr"/>
      <c r="L13" s="4" t="inlineStr"/>
      <c r="M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>
        <f>IF(AND(H14&lt;&gt;"",I14&lt;&gt;""),H14*I14,"")</f>
        <v/>
      </c>
      <c r="K14" s="4" t="inlineStr"/>
      <c r="L14" s="4" t="inlineStr"/>
      <c r="M14" s="4" t="inlineStr"/>
    </row>
  </sheetData>
  <autoFilter ref="A4:M14"/>
  <mergeCells count="2">
    <mergeCell ref="A2:M2"/>
    <mergeCell ref="A1:M1"/>
  </mergeCells>
  <conditionalFormatting sqref="G5:G14">
    <cfRule type="cellIs" priority="1" operator="equal" dxfId="0">
      <formula>"Red"</formula>
    </cfRule>
    <cfRule type="cellIs" priority="2" operator="equal" dxfId="1">
      <formula>"Yellow"</formula>
    </cfRule>
    <cfRule type="cellIs" priority="3" operator="equal" dxfId="2">
      <formula>"Green"</formula>
    </cfRule>
  </conditionalFormatting>
  <conditionalFormatting sqref="J5:J14">
    <cfRule type="cellIs" priority="4" operator="greaterThanOrEqual" dxfId="0">
      <formula>12</formula>
    </cfRule>
    <cfRule type="cellIs" priority="5" operator="lessThan" dxfId="2">
      <formula>6</formula>
    </cfRule>
  </conditionalFormatting>
  <dataValidations count="3">
    <dataValidation sqref="A5:A14" showDropDown="0" showInputMessage="0" showErrorMessage="0" allowBlank="1" type="list">
      <formula1>"R,A,I,D"</formula1>
    </dataValidation>
    <dataValidation sqref="F5:F14" showDropDown="0" showInputMessage="0" showErrorMessage="0" allowBlank="1" type="list">
      <formula1>"Open,Mitigating,Monitoring,Resolved,Closed"</formula1>
    </dataValidation>
    <dataValidation sqref="G5:G14" showDropDown="0" showInputMessage="0" showErrorMessage="0" allowBlank="1" type="list">
      <formula1>"Red,Yellow,Green"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7" t="inlineStr">
        <is>
          <t>RAID definitions</t>
        </is>
      </c>
    </row>
    <row r="2">
      <c r="A2" s="8" t="inlineStr">
        <is>
          <t>R — Risk</t>
        </is>
      </c>
      <c r="B2" s="8" t="inlineStr">
        <is>
          <t>Something that may happen in the future and hurt the project. Has probability + impact. Manage with mitigation.</t>
        </is>
      </c>
    </row>
    <row r="3">
      <c r="A3" s="8" t="inlineStr">
        <is>
          <t>A — Assumption</t>
        </is>
      </c>
      <c r="B3" s="8" t="inlineStr">
        <is>
          <t>Something believed to be true without proof. Validate it — an invalid assumption becomes a risk or issue.</t>
        </is>
      </c>
    </row>
    <row r="4">
      <c r="A4" s="8" t="inlineStr">
        <is>
          <t>I — Issue</t>
        </is>
      </c>
      <c r="B4" s="8" t="inlineStr">
        <is>
          <t>Something that has already happened and needs action now. Owner + target date required.</t>
        </is>
      </c>
    </row>
    <row r="5">
      <c r="A5" s="8" t="inlineStr">
        <is>
          <t>D — Dependency</t>
        </is>
      </c>
      <c r="B5" s="8" t="inlineStr">
        <is>
          <t>Something the project depends on (another team, vendor, system, decision). Track owner and date.</t>
        </is>
      </c>
    </row>
    <row r="6">
      <c r="A6" t="inlineStr"/>
    </row>
    <row r="7">
      <c r="A7" s="7" t="inlineStr">
        <is>
          <t>Exposure scoring</t>
        </is>
      </c>
    </row>
    <row r="8">
      <c r="A8" s="8" t="inlineStr">
        <is>
          <t>Exposure</t>
        </is>
      </c>
      <c r="B8" s="8">
        <f> Impact × Probability (for risks only; leave blank for A/I/D). 1–25 scale. ≥12 = red, &lt;6 = green, otherwise yellow.</f>
        <v/>
      </c>
    </row>
    <row r="9">
      <c r="A9" t="inlineStr"/>
    </row>
    <row r="10">
      <c r="A10" s="7" t="inlineStr">
        <is>
          <t>Cadence &amp; rules</t>
        </is>
      </c>
    </row>
    <row r="11">
      <c r="A11" s="8" t="inlineStr">
        <is>
          <t>Update weekly</t>
        </is>
      </c>
      <c r="B11" s="8" t="inlineStr">
        <is>
          <t>EPO reviews the log weekly; top 3 risks/issues feed the steering 1-pager monthly.</t>
        </is>
      </c>
    </row>
    <row r="12">
      <c r="A12" s="8" t="inlineStr">
        <is>
          <t>Status transitions</t>
        </is>
      </c>
      <c r="B12" s="8" t="inlineStr">
        <is>
          <t>Open → Mitigating/Monitoring → Resolved (or Closed). Never delete rows — history matters.</t>
        </is>
      </c>
    </row>
    <row r="13">
      <c r="A13" s="8" t="inlineStr">
        <is>
          <t>Decisions</t>
        </is>
      </c>
      <c r="B13" s="8" t="inlineStr">
        <is>
          <t>When a RAID item triggers a decision, record it in the Decision Log.</t>
        </is>
      </c>
    </row>
    <row r="14">
      <c r="A14" s="8" t="inlineStr">
        <is>
          <t>Ownership</t>
        </is>
      </c>
      <c r="B14" s="8" t="inlineStr">
        <is>
          <t>Every item has exactly one owner. No owner = item not tracked.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2026-09-17T15:31:07Z</dcterms:created>
  <dcterms:modified xmlns:dcterms="http://purl.org/dc/terms/" xmlns:xsi="http://www.w3.org/2001/XMLSchema-instance" xsi:type="dcterms:W3CDTF">2026-09-17T15:31:07Z</dcterms:modified>
</cp:coreProperties>
</file>