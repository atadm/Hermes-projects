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Option A" sheetId="2" state="visible" r:id="rId2"/>
    <sheet xmlns:r="http://schemas.openxmlformats.org/officeDocument/2006/relationships" name="Option B" sheetId="3" state="visible" r:id="rId3"/>
    <sheet xmlns:r="http://schemas.openxmlformats.org/officeDocument/2006/relationships" name="Option C" sheetId="4" state="visible" r:id="rId4"/>
    <sheet xmlns:r="http://schemas.openxmlformats.org/officeDocument/2006/relationships" name="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sz val="16"/>
    </font>
    <font>
      <i val="1"/>
      <color rgb="00595959"/>
      <sz val="10"/>
    </font>
    <font>
      <b val="1"/>
    </font>
    <font>
      <i val="1"/>
      <color rgb="00808080"/>
    </font>
    <font>
      <i val="1"/>
      <color rgb="00595959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TCO Comparison — &lt;Requirement&gt;</t>
        </is>
      </c>
    </row>
    <row r="2">
      <c r="A2" s="2" t="inlineStr">
        <is>
          <t>Phase 2 · 3-yr and 5-yr total cost of ownership per option · lowest TCO is a strong signal, not the decision — use with build-vs-buy-matrix.xlsx</t>
        </is>
      </c>
    </row>
    <row r="3"/>
    <row r="4">
      <c r="A4" s="3" t="inlineStr">
        <is>
          <t>Option</t>
        </is>
      </c>
      <c r="B4" s="3" t="inlineStr">
        <is>
          <t>3-yr TCO</t>
        </is>
      </c>
      <c r="C4" s="3" t="inlineStr">
        <is>
          <t>5-yr TCO</t>
        </is>
      </c>
      <c r="D4" s="3" t="inlineStr">
        <is>
          <t>Assumptions</t>
        </is>
      </c>
    </row>
    <row r="5">
      <c r="A5" t="inlineStr">
        <is>
          <t>Option A — Build in-house</t>
        </is>
      </c>
      <c r="B5" s="4">
        <f>'Option A'!B15</f>
        <v/>
      </c>
      <c r="C5" s="4">
        <f>'Option A'!B16</f>
        <v/>
      </c>
      <c r="D5" s="5" t="inlineStr">
        <is>
          <t>2 devs × 4 months internal; 0.5 FTE maintenance</t>
        </is>
      </c>
    </row>
    <row r="6">
      <c r="A6" t="inlineStr">
        <is>
          <t>Option B — Buy vendor</t>
        </is>
      </c>
      <c r="B6" s="4">
        <f>'Option B'!B15</f>
        <v/>
      </c>
      <c r="C6" s="4">
        <f>'Option B'!B16</f>
        <v/>
      </c>
      <c r="D6" s="5" t="inlineStr">
        <is>
          <t>Annual license + support; 0.2 FTE internal</t>
        </is>
      </c>
    </row>
    <row r="7">
      <c r="A7" t="inlineStr">
        <is>
          <t>Option C — Configure (no-code/AI)</t>
        </is>
      </c>
      <c r="B7" s="4">
        <f>'Option C'!B15</f>
        <v/>
      </c>
      <c r="C7" s="4">
        <f>'Option C'!B16</f>
        <v/>
      </c>
      <c r="D7" s="5" t="inlineStr">
        <is>
          <t>Platform subscription; 0.1 FTE internal</t>
        </is>
      </c>
    </row>
    <row r="8"/>
    <row r="9">
      <c r="A9" s="6" t="inlineStr">
        <is>
          <t>Note</t>
        </is>
      </c>
      <c r="B9" s="7" t="inlineStr">
        <is>
          <t>Normalize assumptions across options (same years, same effort basis). Document each option's assumptions; un-normalized TCO is worse than no TCO.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Option A — Build in-house (TCO detail)</t>
        </is>
      </c>
    </row>
    <row r="2">
      <c r="A2" s="2" t="inlineStr">
        <is>
          <t>Yellow cells = inputs · totals auto · same categories across options</t>
        </is>
      </c>
    </row>
    <row r="3"/>
    <row r="4">
      <c r="A4" s="3" t="inlineStr">
        <is>
          <t>Cost category</t>
        </is>
      </c>
      <c r="B4" s="3" t="inlineStr">
        <is>
          <t>Y0 (one-time)</t>
        </is>
      </c>
      <c r="C4" s="3" t="inlineStr">
        <is>
          <t>Y1</t>
        </is>
      </c>
      <c r="D4" s="3" t="inlineStr">
        <is>
          <t>Y2</t>
        </is>
      </c>
      <c r="E4" s="3" t="inlineStr">
        <is>
          <t>Y3</t>
        </is>
      </c>
      <c r="F4" s="3" t="inlineStr">
        <is>
          <t>Y4</t>
        </is>
      </c>
      <c r="G4" s="3" t="inlineStr">
        <is>
          <t>Y5</t>
        </is>
      </c>
      <c r="H4" s="3" t="inlineStr">
        <is>
          <t>3-yr (Y0+Y1-3)</t>
        </is>
      </c>
      <c r="I4" s="3" t="inlineStr">
        <is>
          <t>5-yr (Y0+Y1-5)</t>
        </is>
      </c>
    </row>
    <row r="5">
      <c r="A5" s="8" t="inlineStr">
        <is>
          <t>License / subscription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10">
        <f>B5+C5+D5+E5</f>
        <v/>
      </c>
      <c r="I5" s="10">
        <f>B5+C5+D5+E5+F5+G5</f>
        <v/>
      </c>
    </row>
    <row r="6">
      <c r="A6" s="8" t="inlineStr">
        <is>
          <t>Implementation / integration</t>
        </is>
      </c>
      <c r="B6" s="9" t="n">
        <v>80000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10">
        <f>B6+C6+D6+E6</f>
        <v/>
      </c>
      <c r="I6" s="10">
        <f>B6+C6+D6+E6+F6+G6</f>
        <v/>
      </c>
    </row>
    <row r="7">
      <c r="A7" s="8" t="inlineStr">
        <is>
          <t>Data migration</t>
        </is>
      </c>
      <c r="B7" s="9" t="n">
        <v>10000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10">
        <f>B7+C7+D7+E7</f>
        <v/>
      </c>
      <c r="I7" s="10">
        <f>B7+C7+D7+E7+F7+G7</f>
        <v/>
      </c>
    </row>
    <row r="8">
      <c r="A8" s="8" t="inlineStr">
        <is>
          <t>Hardware / infrastructure</t>
        </is>
      </c>
      <c r="B8" s="9" t="n">
        <v>5000</v>
      </c>
      <c r="C8" s="9" t="n">
        <v>1000</v>
      </c>
      <c r="D8" s="9" t="n">
        <v>1000</v>
      </c>
      <c r="E8" s="9" t="n">
        <v>1000</v>
      </c>
      <c r="F8" s="9" t="n">
        <v>1000</v>
      </c>
      <c r="G8" s="9" t="n">
        <v>1000</v>
      </c>
      <c r="H8" s="10">
        <f>B8+C8+D8+E8</f>
        <v/>
      </c>
      <c r="I8" s="10">
        <f>B8+C8+D8+E8+F8+G8</f>
        <v/>
      </c>
    </row>
    <row r="9">
      <c r="A9" s="8" t="inlineStr">
        <is>
          <t>Training &amp; change</t>
        </is>
      </c>
      <c r="B9" s="9" t="n">
        <v>8000</v>
      </c>
      <c r="C9" s="9" t="n">
        <v>2000</v>
      </c>
      <c r="D9" s="9" t="n">
        <v>0</v>
      </c>
      <c r="E9" s="9" t="n">
        <v>0</v>
      </c>
      <c r="F9" s="9" t="n">
        <v>0</v>
      </c>
      <c r="G9" s="9" t="n">
        <v>0</v>
      </c>
      <c r="H9" s="10">
        <f>B9+C9+D9+E9</f>
        <v/>
      </c>
      <c r="I9" s="10">
        <f>B9+C9+D9+E9+F9+G9</f>
        <v/>
      </c>
    </row>
    <row r="10">
      <c r="A10" s="8" t="inlineStr">
        <is>
          <t>Internal maintenance (FTE)</t>
        </is>
      </c>
      <c r="B10" s="9" t="n">
        <v>0</v>
      </c>
      <c r="C10" s="9" t="n">
        <v>18000</v>
      </c>
      <c r="D10" s="9" t="n">
        <v>18000</v>
      </c>
      <c r="E10" s="9" t="n">
        <v>18000</v>
      </c>
      <c r="F10" s="9" t="n">
        <v>18000</v>
      </c>
      <c r="G10" s="9" t="n">
        <v>18000</v>
      </c>
      <c r="H10" s="10">
        <f>B10+C10+D10+E10</f>
        <v/>
      </c>
      <c r="I10" s="10">
        <f>B10+C10+D10+E10+F10+G10</f>
        <v/>
      </c>
    </row>
    <row r="11">
      <c r="A11" s="8" t="inlineStr">
        <is>
          <t>External support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10">
        <f>B11+C11+D11+E11</f>
        <v/>
      </c>
      <c r="I11" s="10">
        <f>B11+C11+D11+E11+F11+G11</f>
        <v/>
      </c>
    </row>
    <row r="12">
      <c r="A12" s="8" t="inlineStr">
        <is>
          <t>Contingency</t>
        </is>
      </c>
      <c r="B12" s="9" t="n">
        <v>10000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10">
        <f>B12+C12+D12+E12</f>
        <v/>
      </c>
      <c r="I12" s="10">
        <f>B12+C12+D12+E12+F12+G12</f>
        <v/>
      </c>
    </row>
    <row r="13">
      <c r="A13" s="11" t="inlineStr">
        <is>
          <t>TOTAL</t>
        </is>
      </c>
      <c r="B13" s="12">
        <f>SUM(B5:B12)</f>
        <v/>
      </c>
      <c r="C13" s="12">
        <f>SUM(C5:C12)</f>
        <v/>
      </c>
      <c r="D13" s="12">
        <f>SUM(D5:D12)</f>
        <v/>
      </c>
      <c r="E13" s="12">
        <f>SUM(E5:E12)</f>
        <v/>
      </c>
      <c r="F13" s="12">
        <f>SUM(F5:F12)</f>
        <v/>
      </c>
      <c r="G13" s="12">
        <f>SUM(G5:G12)</f>
        <v/>
      </c>
      <c r="H13" s="12">
        <f>SUM(H5:H12)</f>
        <v/>
      </c>
      <c r="I13" s="12">
        <f>SUM(I5:I12)</f>
        <v/>
      </c>
    </row>
    <row r="14"/>
    <row r="15">
      <c r="A15" s="11" t="inlineStr">
        <is>
          <t>3-yr TCO (Y0 + Y1–Y3)</t>
        </is>
      </c>
      <c r="B15" s="12">
        <f>B13+C13+D13+E13</f>
        <v/>
      </c>
    </row>
    <row r="16">
      <c r="A16" s="11" t="inlineStr">
        <is>
          <t>5-yr TCO (Y0 + Y1–Y5)</t>
        </is>
      </c>
      <c r="B16" s="12">
        <f>B13+C13+D13+E13+F13+G13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Option B — Buy vendor (TCO detail)</t>
        </is>
      </c>
    </row>
    <row r="2">
      <c r="A2" s="2" t="inlineStr">
        <is>
          <t>Yellow cells = inputs · totals auto · same categories across options</t>
        </is>
      </c>
    </row>
    <row r="3"/>
    <row r="4">
      <c r="A4" s="3" t="inlineStr">
        <is>
          <t>Cost category</t>
        </is>
      </c>
      <c r="B4" s="3" t="inlineStr">
        <is>
          <t>Y0 (one-time)</t>
        </is>
      </c>
      <c r="C4" s="3" t="inlineStr">
        <is>
          <t>Y1</t>
        </is>
      </c>
      <c r="D4" s="3" t="inlineStr">
        <is>
          <t>Y2</t>
        </is>
      </c>
      <c r="E4" s="3" t="inlineStr">
        <is>
          <t>Y3</t>
        </is>
      </c>
      <c r="F4" s="3" t="inlineStr">
        <is>
          <t>Y4</t>
        </is>
      </c>
      <c r="G4" s="3" t="inlineStr">
        <is>
          <t>Y5</t>
        </is>
      </c>
      <c r="H4" s="3" t="inlineStr">
        <is>
          <t>3-yr (Y0+Y1-3)</t>
        </is>
      </c>
      <c r="I4" s="3" t="inlineStr">
        <is>
          <t>5-yr (Y0+Y1-5)</t>
        </is>
      </c>
    </row>
    <row r="5">
      <c r="A5" s="8" t="inlineStr">
        <is>
          <t>License / subscription</t>
        </is>
      </c>
      <c r="B5" s="9" t="n">
        <v>0</v>
      </c>
      <c r="C5" s="9" t="n">
        <v>20000</v>
      </c>
      <c r="D5" s="9" t="n">
        <v>20000</v>
      </c>
      <c r="E5" s="9" t="n">
        <v>20000</v>
      </c>
      <c r="F5" s="9" t="n">
        <v>20000</v>
      </c>
      <c r="G5" s="9" t="n">
        <v>20000</v>
      </c>
      <c r="H5" s="10">
        <f>B5+C5+D5+E5</f>
        <v/>
      </c>
      <c r="I5" s="10">
        <f>B5+C5+D5+E5+F5+G5</f>
        <v/>
      </c>
    </row>
    <row r="6">
      <c r="A6" s="8" t="inlineStr">
        <is>
          <t>Implementation / integration</t>
        </is>
      </c>
      <c r="B6" s="9" t="n">
        <v>30000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10">
        <f>B6+C6+D6+E6</f>
        <v/>
      </c>
      <c r="I6" s="10">
        <f>B6+C6+D6+E6+F6+G6</f>
        <v/>
      </c>
    </row>
    <row r="7">
      <c r="A7" s="8" t="inlineStr">
        <is>
          <t>Data migration</t>
        </is>
      </c>
      <c r="B7" s="9" t="n">
        <v>8000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10">
        <f>B7+C7+D7+E7</f>
        <v/>
      </c>
      <c r="I7" s="10">
        <f>B7+C7+D7+E7+F7+G7</f>
        <v/>
      </c>
    </row>
    <row r="8">
      <c r="A8" s="8" t="inlineStr">
        <is>
          <t>Hardware / infrastructure</t>
        </is>
      </c>
      <c r="B8" s="9" t="n">
        <v>2000</v>
      </c>
      <c r="C8" s="9" t="n">
        <v>500</v>
      </c>
      <c r="D8" s="9" t="n">
        <v>500</v>
      </c>
      <c r="E8" s="9" t="n">
        <v>500</v>
      </c>
      <c r="F8" s="9" t="n">
        <v>500</v>
      </c>
      <c r="G8" s="9" t="n">
        <v>500</v>
      </c>
      <c r="H8" s="10">
        <f>B8+C8+D8+E8</f>
        <v/>
      </c>
      <c r="I8" s="10">
        <f>B8+C8+D8+E8+F8+G8</f>
        <v/>
      </c>
    </row>
    <row r="9">
      <c r="A9" s="8" t="inlineStr">
        <is>
          <t>Training &amp; change</t>
        </is>
      </c>
      <c r="B9" s="9" t="n">
        <v>6000</v>
      </c>
      <c r="C9" s="9" t="n">
        <v>1000</v>
      </c>
      <c r="D9" s="9" t="n">
        <v>0</v>
      </c>
      <c r="E9" s="9" t="n">
        <v>0</v>
      </c>
      <c r="F9" s="9" t="n">
        <v>0</v>
      </c>
      <c r="G9" s="9" t="n">
        <v>0</v>
      </c>
      <c r="H9" s="10">
        <f>B9+C9+D9+E9</f>
        <v/>
      </c>
      <c r="I9" s="10">
        <f>B9+C9+D9+E9+F9+G9</f>
        <v/>
      </c>
    </row>
    <row r="10">
      <c r="A10" s="8" t="inlineStr">
        <is>
          <t>Internal maintenance (FTE)</t>
        </is>
      </c>
      <c r="B10" s="9" t="n">
        <v>0</v>
      </c>
      <c r="C10" s="9" t="n">
        <v>8000</v>
      </c>
      <c r="D10" s="9" t="n">
        <v>8000</v>
      </c>
      <c r="E10" s="9" t="n">
        <v>8000</v>
      </c>
      <c r="F10" s="9" t="n">
        <v>8000</v>
      </c>
      <c r="G10" s="9" t="n">
        <v>8000</v>
      </c>
      <c r="H10" s="10">
        <f>B10+C10+D10+E10</f>
        <v/>
      </c>
      <c r="I10" s="10">
        <f>B10+C10+D10+E10+F10+G10</f>
        <v/>
      </c>
    </row>
    <row r="11">
      <c r="A11" s="8" t="inlineStr">
        <is>
          <t>External support</t>
        </is>
      </c>
      <c r="B11" s="9" t="n">
        <v>0</v>
      </c>
      <c r="C11" s="9" t="n">
        <v>6000</v>
      </c>
      <c r="D11" s="9" t="n">
        <v>6000</v>
      </c>
      <c r="E11" s="9" t="n">
        <v>6000</v>
      </c>
      <c r="F11" s="9" t="n">
        <v>6000</v>
      </c>
      <c r="G11" s="9" t="n">
        <v>6000</v>
      </c>
      <c r="H11" s="10">
        <f>B11+C11+D11+E11</f>
        <v/>
      </c>
      <c r="I11" s="10">
        <f>B11+C11+D11+E11+F11+G11</f>
        <v/>
      </c>
    </row>
    <row r="12">
      <c r="A12" s="8" t="inlineStr">
        <is>
          <t>Contingency</t>
        </is>
      </c>
      <c r="B12" s="9" t="n">
        <v>5000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10">
        <f>B12+C12+D12+E12</f>
        <v/>
      </c>
      <c r="I12" s="10">
        <f>B12+C12+D12+E12+F12+G12</f>
        <v/>
      </c>
    </row>
    <row r="13">
      <c r="A13" s="11" t="inlineStr">
        <is>
          <t>TOTAL</t>
        </is>
      </c>
      <c r="B13" s="12">
        <f>SUM(B5:B12)</f>
        <v/>
      </c>
      <c r="C13" s="12">
        <f>SUM(C5:C12)</f>
        <v/>
      </c>
      <c r="D13" s="12">
        <f>SUM(D5:D12)</f>
        <v/>
      </c>
      <c r="E13" s="12">
        <f>SUM(E5:E12)</f>
        <v/>
      </c>
      <c r="F13" s="12">
        <f>SUM(F5:F12)</f>
        <v/>
      </c>
      <c r="G13" s="12">
        <f>SUM(G5:G12)</f>
        <v/>
      </c>
      <c r="H13" s="12">
        <f>SUM(H5:H12)</f>
        <v/>
      </c>
      <c r="I13" s="12">
        <f>SUM(I5:I12)</f>
        <v/>
      </c>
    </row>
    <row r="14"/>
    <row r="15">
      <c r="A15" s="11" t="inlineStr">
        <is>
          <t>3-yr TCO (Y0 + Y1–Y3)</t>
        </is>
      </c>
      <c r="B15" s="12">
        <f>B13+C13+D13+E13</f>
        <v/>
      </c>
    </row>
    <row r="16">
      <c r="A16" s="11" t="inlineStr">
        <is>
          <t>5-yr TCO (Y0 + Y1–Y5)</t>
        </is>
      </c>
      <c r="B16" s="12">
        <f>B13+C13+D13+E13+F13+G13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Option C — Configure (no-code/AI) (TCO detail)</t>
        </is>
      </c>
    </row>
    <row r="2">
      <c r="A2" s="2" t="inlineStr">
        <is>
          <t>Yellow cells = inputs · totals auto · same categories across options</t>
        </is>
      </c>
    </row>
    <row r="3"/>
    <row r="4">
      <c r="A4" s="3" t="inlineStr">
        <is>
          <t>Cost category</t>
        </is>
      </c>
      <c r="B4" s="3" t="inlineStr">
        <is>
          <t>Y0 (one-time)</t>
        </is>
      </c>
      <c r="C4" s="3" t="inlineStr">
        <is>
          <t>Y1</t>
        </is>
      </c>
      <c r="D4" s="3" t="inlineStr">
        <is>
          <t>Y2</t>
        </is>
      </c>
      <c r="E4" s="3" t="inlineStr">
        <is>
          <t>Y3</t>
        </is>
      </c>
      <c r="F4" s="3" t="inlineStr">
        <is>
          <t>Y4</t>
        </is>
      </c>
      <c r="G4" s="3" t="inlineStr">
        <is>
          <t>Y5</t>
        </is>
      </c>
      <c r="H4" s="3" t="inlineStr">
        <is>
          <t>3-yr (Y0+Y1-3)</t>
        </is>
      </c>
      <c r="I4" s="3" t="inlineStr">
        <is>
          <t>5-yr (Y0+Y1-5)</t>
        </is>
      </c>
    </row>
    <row r="5">
      <c r="A5" s="8" t="inlineStr">
        <is>
          <t>License / subscription</t>
        </is>
      </c>
      <c r="B5" s="9" t="n">
        <v>0</v>
      </c>
      <c r="C5" s="9" t="n">
        <v>12000</v>
      </c>
      <c r="D5" s="9" t="n">
        <v>12000</v>
      </c>
      <c r="E5" s="9" t="n">
        <v>12000</v>
      </c>
      <c r="F5" s="9" t="n">
        <v>12000</v>
      </c>
      <c r="G5" s="9" t="n">
        <v>12000</v>
      </c>
      <c r="H5" s="10">
        <f>B5+C5+D5+E5</f>
        <v/>
      </c>
      <c r="I5" s="10">
        <f>B5+C5+D5+E5+F5+G5</f>
        <v/>
      </c>
    </row>
    <row r="6">
      <c r="A6" s="8" t="inlineStr">
        <is>
          <t>Implementation / integration</t>
        </is>
      </c>
      <c r="B6" s="9" t="n">
        <v>15000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10">
        <f>B6+C6+D6+E6</f>
        <v/>
      </c>
      <c r="I6" s="10">
        <f>B6+C6+D6+E6+F6+G6</f>
        <v/>
      </c>
    </row>
    <row r="7">
      <c r="A7" s="8" t="inlineStr">
        <is>
          <t>Data migration</t>
        </is>
      </c>
      <c r="B7" s="9" t="n">
        <v>3000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10">
        <f>B7+C7+D7+E7</f>
        <v/>
      </c>
      <c r="I7" s="10">
        <f>B7+C7+D7+E7+F7+G7</f>
        <v/>
      </c>
    </row>
    <row r="8">
      <c r="A8" s="8" t="inlineStr">
        <is>
          <t>Hardware / infrastructure</t>
        </is>
      </c>
      <c r="B8" s="9" t="n">
        <v>1000</v>
      </c>
      <c r="C8" s="9" t="n">
        <v>300</v>
      </c>
      <c r="D8" s="9" t="n">
        <v>300</v>
      </c>
      <c r="E8" s="9" t="n">
        <v>300</v>
      </c>
      <c r="F8" s="9" t="n">
        <v>300</v>
      </c>
      <c r="G8" s="9" t="n">
        <v>300</v>
      </c>
      <c r="H8" s="10">
        <f>B8+C8+D8+E8</f>
        <v/>
      </c>
      <c r="I8" s="10">
        <f>B8+C8+D8+E8+F8+G8</f>
        <v/>
      </c>
    </row>
    <row r="9">
      <c r="A9" s="8" t="inlineStr">
        <is>
          <t>Training &amp; change</t>
        </is>
      </c>
      <c r="B9" s="9" t="n">
        <v>4000</v>
      </c>
      <c r="C9" s="9" t="n">
        <v>500</v>
      </c>
      <c r="D9" s="9" t="n">
        <v>0</v>
      </c>
      <c r="E9" s="9" t="n">
        <v>0</v>
      </c>
      <c r="F9" s="9" t="n">
        <v>0</v>
      </c>
      <c r="G9" s="9" t="n">
        <v>0</v>
      </c>
      <c r="H9" s="10">
        <f>B9+C9+D9+E9</f>
        <v/>
      </c>
      <c r="I9" s="10">
        <f>B9+C9+D9+E9+F9+G9</f>
        <v/>
      </c>
    </row>
    <row r="10">
      <c r="A10" s="8" t="inlineStr">
        <is>
          <t>Internal maintenance (FTE)</t>
        </is>
      </c>
      <c r="B10" s="9" t="n">
        <v>0</v>
      </c>
      <c r="C10" s="9" t="n">
        <v>4000</v>
      </c>
      <c r="D10" s="9" t="n">
        <v>4000</v>
      </c>
      <c r="E10" s="9" t="n">
        <v>4000</v>
      </c>
      <c r="F10" s="9" t="n">
        <v>4000</v>
      </c>
      <c r="G10" s="9" t="n">
        <v>4000</v>
      </c>
      <c r="H10" s="10">
        <f>B10+C10+D10+E10</f>
        <v/>
      </c>
      <c r="I10" s="10">
        <f>B10+C10+D10+E10+F10+G10</f>
        <v/>
      </c>
    </row>
    <row r="11">
      <c r="A11" s="8" t="inlineStr">
        <is>
          <t>External support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10">
        <f>B11+C11+D11+E11</f>
        <v/>
      </c>
      <c r="I11" s="10">
        <f>B11+C11+D11+E11+F11+G11</f>
        <v/>
      </c>
    </row>
    <row r="12">
      <c r="A12" s="8" t="inlineStr">
        <is>
          <t>Contingency</t>
        </is>
      </c>
      <c r="B12" s="9" t="n">
        <v>3000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10">
        <f>B12+C12+D12+E12</f>
        <v/>
      </c>
      <c r="I12" s="10">
        <f>B12+C12+D12+E12+F12+G12</f>
        <v/>
      </c>
    </row>
    <row r="13">
      <c r="A13" s="11" t="inlineStr">
        <is>
          <t>TOTAL</t>
        </is>
      </c>
      <c r="B13" s="12">
        <f>SUM(B5:B12)</f>
        <v/>
      </c>
      <c r="C13" s="12">
        <f>SUM(C5:C12)</f>
        <v/>
      </c>
      <c r="D13" s="12">
        <f>SUM(D5:D12)</f>
        <v/>
      </c>
      <c r="E13" s="12">
        <f>SUM(E5:E12)</f>
        <v/>
      </c>
      <c r="F13" s="12">
        <f>SUM(F5:F12)</f>
        <v/>
      </c>
      <c r="G13" s="12">
        <f>SUM(G5:G12)</f>
        <v/>
      </c>
      <c r="H13" s="12">
        <f>SUM(H5:H12)</f>
        <v/>
      </c>
      <c r="I13" s="12">
        <f>SUM(I5:I12)</f>
        <v/>
      </c>
    </row>
    <row r="14"/>
    <row r="15">
      <c r="A15" s="11" t="inlineStr">
        <is>
          <t>3-yr TCO (Y0 + Y1–Y3)</t>
        </is>
      </c>
      <c r="B15" s="12">
        <f>B13+C13+D13+E13</f>
        <v/>
      </c>
    </row>
    <row r="16">
      <c r="A16" s="11" t="inlineStr">
        <is>
          <t>5-yr TCO (Y0 + Y1–Y5)</t>
        </is>
      </c>
      <c r="B16" s="12">
        <f>B13+C13+D13+E13+F13+G13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3" t="inlineStr">
        <is>
          <t>How to use the TCO model</t>
        </is>
      </c>
    </row>
    <row r="2">
      <c r="A2" s="14" t="inlineStr">
        <is>
          <t>One sheet per option</t>
        </is>
      </c>
      <c r="B2" s="14" t="inlineStr">
        <is>
          <t>Fill the yellow cells for Build, Buy, Configure (or per vendor). Keep the 8 cost categories identical across options — comparability is the whole point.</t>
        </is>
      </c>
    </row>
    <row r="3">
      <c r="A3" s="14" t="inlineStr">
        <is>
          <t>Normalization</t>
        </is>
      </c>
      <c r="B3" s="14" t="inlineStr">
        <is>
          <t>Same years, same effort basis, same currency. If Option B excludes training that Option A includes, the comparison lies. Document assumptions per option (Comparison sheet).</t>
        </is>
      </c>
    </row>
    <row r="4">
      <c r="A4" s="14" t="inlineStr">
        <is>
          <t>Horizon</t>
        </is>
      </c>
      <c r="B4" s="14" t="inlineStr">
        <is>
          <t>3-yr for speed-to-value decisions; 5-yr for platform/long-lifecycle choices. License terms (annual vs multi-year) should match the horizon.</t>
        </is>
      </c>
    </row>
    <row r="5">
      <c r="A5" s="14" t="inlineStr">
        <is>
          <t>Internal maintenance</t>
        </is>
      </c>
      <c r="B5" s="14" t="inlineStr">
        <is>
          <t>Use the org FTE rate convention ($36k/yr fully loaded) for internal maintenance effort; build has the highest internal burden.</t>
        </is>
      </c>
    </row>
    <row r="6">
      <c r="A6" s="14" t="inlineStr">
        <is>
          <t>Contingency</t>
        </is>
      </c>
      <c r="B6" s="14" t="inlineStr">
        <is>
          <t>Typically 10–15% of implementation cost for build, less for buy/configure. Note the % used per option.</t>
        </is>
      </c>
    </row>
    <row r="7">
      <c r="A7" s="14" t="inlineStr">
        <is>
          <t>Linkage</t>
        </is>
      </c>
      <c r="B7" s="14" t="inlineStr">
        <is>
          <t>3-yr TCO feeds the business case investment line; per-option totals feed the build-vs-buy matrix (TCO criterion) and the ROI model (ongoing cost).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2026-09-17T15:58:35Z</dcterms:created>
  <dcterms:modified xmlns:dcterms="http://purl.org/dc/terms/" xmlns:xsi="http://www.w3.org/2001/XMLSchema-instance" xsi:type="dcterms:W3CDTF">2026-09-17T15:58:35Z</dcterms:modified>
</cp:coreProperties>
</file>